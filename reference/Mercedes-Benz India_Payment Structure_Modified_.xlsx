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orpdir-my.sharepoint.com/personal/sandila_apac_corpdir_net/Documents/Desktop/"/>
    </mc:Choice>
  </mc:AlternateContent>
  <xr:revisionPtr revIDLastSave="0" documentId="14_{FD43976C-3E75-4D21-B486-494BDD4A0653}" xr6:coauthVersionLast="47" xr6:coauthVersionMax="47" xr10:uidLastSave="{00000000-0000-0000-0000-000000000000}"/>
  <workbookProtection workbookAlgorithmName="SHA-512" workbookHashValue="us1UxyqCzjEE+Sa6pa5rYfFEgYp3R6Qk9R29CBZY6gVvfXuLp2EEn0+a2HfpwAt6QxvsDZ7d035Z6Y6upDxp8g==" workbookSaltValue="pCeNhdGCgCD5uKxuImAStA==" workbookSpinCount="100000" lockStructure="1"/>
  <bookViews>
    <workbookView xWindow="-110" yWindow="-110" windowWidth="19420" windowHeight="11500" firstSheet="1" activeTab="1" xr2:uid="{32705772-577A-404A-A008-CC5EB989D5B4}"/>
  </bookViews>
  <sheets>
    <sheet name="Sheet2" sheetId="2" state="hidden" r:id="rId1"/>
    <sheet name="Individual" sheetId="5" r:id="rId2"/>
    <sheet name="Corporate or Company " sheetId="8" r:id="rId3"/>
    <sheet name="Leasing" sheetId="9" r:id="rId4"/>
    <sheet name="Disclaimer" sheetId="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4" i="9" l="1"/>
  <c r="E28" i="9"/>
  <c r="E41" i="9" s="1"/>
  <c r="E17" i="9"/>
  <c r="E3" i="9"/>
  <c r="E50" i="8"/>
  <c r="E46" i="8"/>
  <c r="E34" i="8"/>
  <c r="E28" i="8"/>
  <c r="E58" i="8" s="1"/>
  <c r="E17" i="8"/>
  <c r="E40" i="8" s="1"/>
  <c r="E47" i="8" s="1"/>
  <c r="E3" i="8"/>
  <c r="E44" i="5"/>
  <c r="E17" i="5"/>
  <c r="E3" i="5"/>
  <c r="E48" i="5"/>
  <c r="E32" i="5"/>
  <c r="E37" i="5" l="1"/>
  <c r="F37" i="5" s="1"/>
  <c r="E38" i="5"/>
  <c r="E45" i="5" s="1"/>
  <c r="D57" i="5" s="1"/>
  <c r="E18" i="5"/>
  <c r="E19" i="5" s="1"/>
  <c r="E20" i="9"/>
  <c r="E21" i="9" s="1"/>
  <c r="D40" i="9" s="1"/>
  <c r="E39" i="8"/>
  <c r="F39" i="8" s="1"/>
  <c r="F40" i="8"/>
  <c r="F47" i="8" s="1"/>
  <c r="D59" i="8" s="1"/>
  <c r="E20" i="8"/>
  <c r="E21" i="8" s="1"/>
  <c r="E26" i="5"/>
  <c r="F38" i="5" l="1"/>
  <c r="F45" i="5" s="1"/>
  <c r="D58" i="5" s="1"/>
  <c r="E35" i="9"/>
  <c r="E35" i="8"/>
  <c r="E51" i="8" s="1"/>
  <c r="D57" i="8"/>
  <c r="D56" i="8"/>
  <c r="E56" i="5"/>
  <c r="E33" i="5"/>
  <c r="D55" i="5" l="1"/>
  <c r="E49" i="5"/>
  <c r="D54" i="5"/>
</calcChain>
</file>

<file path=xl/sharedStrings.xml><?xml version="1.0" encoding="utf-8"?>
<sst xmlns="http://schemas.openxmlformats.org/spreadsheetml/2006/main" count="280" uniqueCount="120">
  <si>
    <t>PAYMENT STRUCTURE</t>
  </si>
  <si>
    <t> </t>
  </si>
  <si>
    <t>Advanced Booking Payment</t>
  </si>
  <si>
    <t>Balance Payment</t>
  </si>
  <si>
    <t>Purpose of Payment</t>
  </si>
  <si>
    <t>Booking Amount for the Vehicle</t>
  </si>
  <si>
    <t>Ex-Showroom Price*</t>
  </si>
  <si>
    <t>Downpayment*/Outright Payment*</t>
  </si>
  <si>
    <t>Finance Amount (LTV)*</t>
  </si>
  <si>
    <t>Trade-In (Adjusted in Part A)</t>
  </si>
  <si>
    <t>Trade-In (Adjusted in Part B)</t>
  </si>
  <si>
    <t>Registration, Insurance, Statutory Levis(if any)^</t>
  </si>
  <si>
    <t>Service Products⁺</t>
  </si>
  <si>
    <t>Payable to</t>
  </si>
  <si>
    <t>Mercedes-Benz India</t>
  </si>
  <si>
    <t>Franchisee Partners</t>
  </si>
  <si>
    <t>Amount</t>
  </si>
  <si>
    <t>*Part A of Invoice</t>
  </si>
  <si>
    <t>^Part B of Invoice</t>
  </si>
  <si>
    <t>⁺Optional Add-ons 
Includes: Accessories, Star Ease, Advance Assurance, Mobilo</t>
  </si>
  <si>
    <t>Mercedes-Benz India Private Limited</t>
  </si>
  <si>
    <t>Customer Name:</t>
  </si>
  <si>
    <t>Address of respective location</t>
  </si>
  <si>
    <t>Customer Contact:</t>
  </si>
  <si>
    <t>Powertrain:</t>
  </si>
  <si>
    <t>Colour:</t>
  </si>
  <si>
    <t>Amount (INR)</t>
  </si>
  <si>
    <t xml:space="preserve">Ex-Showroom Price </t>
  </si>
  <si>
    <t>Welcome Benefit (if applicable)</t>
  </si>
  <si>
    <t>Net Ex-Showroom Price</t>
  </si>
  <si>
    <t>TCS @1%</t>
  </si>
  <si>
    <t>Road Tax/ Registration Charges</t>
  </si>
  <si>
    <t>Other Levies</t>
  </si>
  <si>
    <t>Processing Fees &amp; Stamp Duty</t>
  </si>
  <si>
    <t>Security Deposit (if applicable)</t>
  </si>
  <si>
    <t xml:space="preserve">Accessories, colours and fitments shown may not be part of standard specification. The Vehicles are tested for performance </t>
  </si>
  <si>
    <t xml:space="preserve">and quality under specific conditions and/or standard lab conditions. The performance may vary depending on the usage, driving, </t>
  </si>
  <si>
    <t xml:space="preserve">maintenance, fuel quality, road and terrain conditions. </t>
  </si>
  <si>
    <t>This pricing is valid till the end of the month in which the quote is issued.</t>
  </si>
  <si>
    <t>[a]Part A disclaimer: The Net Ex-showroom price is determined by Mercedes-Benz India Private Limited (MB India) and is inclusive of standard sales measures and applicable offers. The Total Ex-showroom Price (Inclusive of Taxes) shall be payable to Mercedes-Benz India Private Limited as the Purchase Price of your Mercedes-Benz vehicle only. All other Additional Services are offered by the preferred Franchise Partner as selected by you and they do not form part of the standard product (i.e. Mercedes-Benz vehicle) offered by MB India. Any amount payable for these Additional Services shall be invoiced by the Franchise Partner in its independent capacity and payable to the Franchise Partner directly (along with applicable Taxes, if any). The Tax Collected at Source (TCS) has been calculated assuming that the Customer has fulfilled the conditions as stated in Section 206CCA, of the Income tax Act. In case the conditions provided in the said Section like filing of Income tax Returns for past 2 years, are not satisfied, the TCS at the higher rate i.e. 5% will be applicable. In case you fall in concessional tax category then the said concessions will be provided only if all t he conditions for availing such concessions, as provided in the relevant law, are fulfilled. Provided that only such concessions as applicable on the date of invoice of the Vehicle will be available to the customer. The Purchase Price has been calculated as at the Order Date and the Order shall be valid for 14 cal endar days from the Order Date (both days inclusive). The validity of the Order is non-extendable. Hence, the Order shall be finalized within the Validity Period by executing the Order Finalisation Form (Order Finalisation). The Taxes as applicable on the date of Invoice will be payable by the customer. Thus, Purchase Price may vary in case of change in GST/ CESS/ TCS/ other taxes or any other statutory dues after the Date of issue of this Order. Mercedes-Benz India Private Limited or its Franchise Partners will not be liable for any direct or indirect loss caused to the Customer on account of such change. The break-up of GST into various components like CGST, SGST/ UTGST or IGST shown as part of on-road price is just indicative. Actual components will be determined based on the location (State) of Agent/ Stock and address/ type of the customer at the time of Invoicing.</t>
  </si>
  <si>
    <t>[b]Part B disclaimer: The On-Road Price has been calculated as at Order Date and shall be valid for 14 calendar days from the Order Date (both days inclusive). The amount mentioned in Part B herein shall be payable directly to Franchise Partner as it would facilitate the payment of insurance, Road Tax and other Statutory levies for registration of the Vehicle. Road Tax specified in Part B is only indicative. More information on Road tax applicable to the Vehicle may be obtained from preferred Franchise Partner. Taxes and other levies as applicable on the date of registration shall be payable by the customer and Mercedes-Benz India Private Limited or its Franchise Partner shall not be responsible for any direct or indirect loss caused to the Customer on account of any change in such taxes or other levies. The Order shall be subject to submission of valid documents during the validity of the Order. The On-road Price may vary in case of change in taxes or any other statutory dues after the Order Date. Mercedes-Benz India Private Limited or its Franchise Partners shall not be held responsible for any direct or indirect loss caused to the Customer on account of any change in such taxes or other statutory dues.</t>
  </si>
  <si>
    <t>[c]Insurance Disclaimer: The insurance premium shown above is an indicative quotation for Purchaser’s convenience in arriving at the total cost of the Vehicle and that the Purchaser may independently reach out to any Franchise Partner/Motor Insurance Service Provider (MISP)/Insurance company for details of the premium and the terms and conditions of the insurance. The amount mentioned against ‘Insurance’ indicates the amount payable towards Insurance premium for Own Damage (OD) cover for one (01) year and add-on insurance covers, if any. The amount mentioned against ‘Other Statutory Levies’ indicates the amount payable towards Third Party (TP) insurance cover for three (03) years. The insurance premium has been calculated as per IRDAI guidelines. The Franchise Partner is the MISP of Mercedes-Benz Financial Services India Pvt. Ltd., holding valid Corporate agency license No CA0180, providing motor insurance services through it empaneled insurance companies namely IndusInd General Insurance Company Limited, ICICI Lombard General Insurance Company Limited, Bajaj General Insurance Limited and Tata AIG General Insurance Company Limited. MB India doesn’t represent nor does it solicit or sell insurance services and the Customer should use his judgement while choosing the insurer and the cover required by him/her.</t>
  </si>
  <si>
    <t>[d]The Road Tax above may be inclusive of an offer from MB India, further details on the same can be obtained from your preferred Franchise Partner.</t>
  </si>
  <si>
    <t>GST Number of Respective State</t>
  </si>
  <si>
    <t>CGST / SGST OR IGST</t>
  </si>
  <si>
    <t>Term (Months)</t>
  </si>
  <si>
    <t>Kuruli &amp; Nighoje</t>
  </si>
  <si>
    <t>Tal: Khed</t>
  </si>
  <si>
    <t>E-3, MIDC Chakan - Phase III,</t>
  </si>
  <si>
    <t>Chakan Industrial Area,</t>
  </si>
  <si>
    <t>Pune- 410501</t>
  </si>
  <si>
    <t>[b]Part B disclaimer: The On-Road Price has been calculated as at Order Date and shall be valid for 14 calendar days from the Order Date (both days inclusive). The amount mentioned in Part B herein shall be payable directly to Franchise Partner as it would facilitate the payment of insurance, Road Tax and other Statutory levies for registration of the Vehicle. Road Tax specified in Part B is only indicative. More information on Road tax applicable to the Vehicle may be obtained from preferred Franchise Partner. Taxes and other levies as applicable on the date of registration shall be payable by the customer and Mercedes-Benz India Private Limited or its Franchise Partner shall not be responsible for any direct or indirect loss caused to the Customer on account of any change in such taxes or other levies. The Order shall be subject to submission of valid documents during the validity of the Order. The On-road Price may vary in case of change in taxes or any other statutory dues after the Order Date. Mercedes-Benz India Private Limited or its Franchise Partners shall not be held responsible for any direct or indirect loss caused to the Customer on account of any change in such taxes or other statutory dues.
[c]Insurance Disclaimer: The insurance premium shown above is an indicative quotation for Purchaser’s convenience in arriving at the total cost of the Vehicle and that the Purchaser may independently reach out to any Franchise Partner/Motor Insurance Service Provider (MISP)/Insurance company for details of the premium and the terms and conditions of the insurance. The amount mentioned against ‘Insurance’ indicates the amount payable towards Insurance premium for Own Damage (OD) cover for one (01) year and add-on insurance covers, if any. The amount mentioned against ‘Other Statutory Levies’ indicates the amount payable towards Third Party (TP) insurance cover for three (03) years. The insurance premium has been calculated as per IRDAI guidelines. The Franchise Partner is the MISP of Mercedes-Benz Financial Services India Pvt. Ltd., holding valid Corporate agency license No CA0180, providing motor insurance services through it empaneled insurance companies namely IndusInd General Insurance Company Limited, ICICI Lombard General Insurance Company Limited, Bajaj General Insurance Limited and Tata AIG General Insurance Company Limited. MB India doesn’t represent nor does it solicit or sell insurance services and the Customer should use his judgement while choosing the insurer and the cover required by him/her.
[d]The Road Tax above may be inclusive of an offer from MB India, further details on the same can be obtained from your preferred Franchise Partner.</t>
  </si>
  <si>
    <t>Franchise Partner Name:</t>
  </si>
  <si>
    <t>Vehicle Price</t>
  </si>
  <si>
    <t>Other Statutory requirements</t>
  </si>
  <si>
    <t>Loyalty Offer (if applicable)</t>
  </si>
  <si>
    <t>Any other offer  (if applicable)</t>
  </si>
  <si>
    <t>Monthly Offers  (if applicable)</t>
  </si>
  <si>
    <t>Total Vehicle Price payment (A)</t>
  </si>
  <si>
    <t>Total Statutory Payment (B)</t>
  </si>
  <si>
    <t>Other Optional Extras</t>
  </si>
  <si>
    <t>Star Ease - Service Packages</t>
  </si>
  <si>
    <t>Total Optional Extras (C)</t>
  </si>
  <si>
    <t>Total Outflow (A) + (B) + (C)</t>
  </si>
  <si>
    <t>Finance plan</t>
  </si>
  <si>
    <t>Exchange at MB Dealership</t>
  </si>
  <si>
    <t>OPTIONAL EXTRAS</t>
  </si>
  <si>
    <t>Buyback Value for 10K Per year for 4 years</t>
  </si>
  <si>
    <t>Total Value to be adjusted for customer (D)</t>
  </si>
  <si>
    <t>Payment Options</t>
  </si>
  <si>
    <t>Mode</t>
  </si>
  <si>
    <t>Particulars/Remark</t>
  </si>
  <si>
    <t>Exchange support from MB India for your new car</t>
  </si>
  <si>
    <t>Accessories</t>
  </si>
  <si>
    <t>Insurance Star Protect Gold</t>
  </si>
  <si>
    <t>Select Plan:</t>
  </si>
  <si>
    <t>Net Disbursement Amount</t>
  </si>
  <si>
    <t>Finance</t>
  </si>
  <si>
    <t>Balance Payment to Dealer (B) + (C) -(D)</t>
  </si>
  <si>
    <t>Paid to MB India by Financer</t>
  </si>
  <si>
    <t>As you are already a customer of Mercedes-Benz</t>
  </si>
  <si>
    <t>Dream Days Campaign</t>
  </si>
  <si>
    <t>Special limited time offer by MB India</t>
  </si>
  <si>
    <t>NEFT/Credit Cards/Debit Cards/Cheque</t>
  </si>
  <si>
    <r>
      <t xml:space="preserve">NEFT to unique Bank AC number </t>
    </r>
    <r>
      <rPr>
        <b/>
        <u/>
        <sz val="9"/>
        <color theme="1"/>
        <rFont val="MB Corpo S Text Office"/>
        <family val="2"/>
      </rPr>
      <t>OR</t>
    </r>
    <r>
      <rPr>
        <sz val="9"/>
        <color theme="1"/>
        <rFont val="MB Corpo S Text Office"/>
        <family val="2"/>
      </rPr>
      <t xml:space="preserve"> 
Cheque in the favour of Mercedes-Benz India Pvt. Ltd. </t>
    </r>
    <r>
      <rPr>
        <b/>
        <u/>
        <sz val="9"/>
        <color theme="1"/>
        <rFont val="MB Corpo S Text Office"/>
        <family val="2"/>
      </rPr>
      <t>OR</t>
    </r>
    <r>
      <rPr>
        <sz val="9"/>
        <color theme="1"/>
        <rFont val="MB Corpo S Text Office"/>
        <family val="2"/>
      </rPr>
      <t xml:space="preserve">
Credit Card (up to INR 10 lakhs only)</t>
    </r>
  </si>
  <si>
    <t>Will be credited to your tax account</t>
  </si>
  <si>
    <t>*This quote is valid till the end of this month</t>
  </si>
  <si>
    <t>Handling Charges</t>
  </si>
  <si>
    <t>Less: Any other offers   (If applicable)</t>
  </si>
  <si>
    <t>Booking Amount</t>
  </si>
  <si>
    <r>
      <t xml:space="preserve">Issued by: </t>
    </r>
    <r>
      <rPr>
        <i/>
        <sz val="9"/>
        <color theme="2" tint="-9.9978637043366805E-2"/>
        <rFont val="MB Corpo S Text Office"/>
        <family val="2"/>
      </rPr>
      <t>Franchise Partner</t>
    </r>
  </si>
  <si>
    <t>Net Outflow (A) + (B) + (C) -(D)</t>
  </si>
  <si>
    <t>Advance Assurance - Extended Warranty Packages</t>
  </si>
  <si>
    <r>
      <t xml:space="preserve">To </t>
    </r>
    <r>
      <rPr>
        <b/>
        <sz val="9"/>
        <color theme="2" tint="-9.9978637043366805E-2"/>
        <rFont val="MB Corpo S Text Office"/>
        <family val="2"/>
      </rPr>
      <t>FP Name</t>
    </r>
  </si>
  <si>
    <r>
      <t xml:space="preserve">Special Support by </t>
    </r>
    <r>
      <rPr>
        <b/>
        <sz val="9"/>
        <color theme="2" tint="-9.9978637043366805E-2"/>
        <rFont val="MB Corpo S Text Office"/>
        <family val="2"/>
      </rPr>
      <t xml:space="preserve">FP Name </t>
    </r>
  </si>
  <si>
    <t>Zero Dep, Engine Protector, Rodent Bite Cover </t>
  </si>
  <si>
    <t>No handling charges are levied on customers by MB India</t>
  </si>
  <si>
    <t>Registration &amp; Insurance</t>
  </si>
  <si>
    <t>STAR FINANCE</t>
  </si>
  <si>
    <t>STAR AGILITY+</t>
  </si>
  <si>
    <t>Downpayment (20% of Net Exshowroom)</t>
  </si>
  <si>
    <t>Rate of Interest</t>
  </si>
  <si>
    <t xml:space="preserve">Value of current vehicle: </t>
  </si>
  <si>
    <t>PROFORMA QUOTATION</t>
  </si>
  <si>
    <t>Loan Amount (80% of Net Exshowroom)</t>
  </si>
  <si>
    <t xml:space="preserve">To Mercedes- Benz India </t>
  </si>
  <si>
    <t>Not applicable</t>
  </si>
  <si>
    <t>Balance Payment To MB India (A) -(DP) -Net Disbursement amount ( Star Agility+)</t>
  </si>
  <si>
    <t>Balance Payment To MB India (A) -(DP) -Net Disbursement amount (Star Finance)</t>
  </si>
  <si>
    <t>Ex Factory Price</t>
  </si>
  <si>
    <t>Enter Address of respective location</t>
  </si>
  <si>
    <t>Enter GST Number of Respective State</t>
  </si>
  <si>
    <t>Balance Payment To MB India (A) -(DP)</t>
  </si>
  <si>
    <t>Total Outflow (A) + (B) + ©</t>
  </si>
  <si>
    <t>Paid to MB India by Financer (Star Agility+)</t>
  </si>
  <si>
    <t>Paid to MB India by Financer (Star Finance)</t>
  </si>
  <si>
    <t>Loan Amount (90% of Net Exshowroom)</t>
  </si>
  <si>
    <t>Downpayment (10% of Net Exshowroom)</t>
  </si>
  <si>
    <t>Model Name: C220D</t>
  </si>
  <si>
    <t>EMI (Arrears)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</si>
</sst>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F800]dddd\,\ mmmm\ dd\,\ yyyy"/>
    <numFmt numFmtId="165" formatCode="_(* #,##0_);_(* \(#,##0\);_(* &quot;-&quot;??_);_(@_)"/>
    <numFmt numFmtId="166" formatCode="_(* #,##0.0_);_(* \(#,##0.0\);_(* &quot;-&quot;?_);_(@_)"/>
  </numFmts>
  <fonts count="33" x14ac:knownFonts="1">
    <font>
      <sz val="11"/>
      <color theme="1"/>
      <name val="Aptos Narrow"/>
      <family val="2"/>
      <scheme val="minor"/>
    </font>
    <font>
      <sz val="10"/>
      <name val="Arial"/>
      <family val="2"/>
    </font>
    <font>
      <sz val="11"/>
      <color theme="1"/>
      <name val="MB Corpo S Text Office"/>
      <family val="2"/>
    </font>
    <font>
      <sz val="11"/>
      <name val="MB Corpo S Text Office"/>
      <family val="2"/>
    </font>
    <font>
      <b/>
      <sz val="11"/>
      <name val="MB Corpo S Text Office"/>
      <family val="2"/>
    </font>
    <font>
      <b/>
      <sz val="12"/>
      <name val="MB Corpo S Text Office"/>
      <family val="2"/>
    </font>
    <font>
      <i/>
      <sz val="11"/>
      <color theme="1"/>
      <name val="Aptos Narrow"/>
      <family val="2"/>
      <scheme val="minor"/>
    </font>
    <font>
      <sz val="11"/>
      <color rgb="FF000000"/>
      <name val="MB Corpo S Text Office"/>
      <family val="2"/>
    </font>
    <font>
      <b/>
      <sz val="11"/>
      <color rgb="FF000000"/>
      <name val="MB Corpo S Text Office"/>
      <family val="2"/>
    </font>
    <font>
      <i/>
      <sz val="10"/>
      <color rgb="FF595959"/>
      <name val="MB Corpo S Text Office"/>
      <family val="2"/>
    </font>
    <font>
      <b/>
      <sz val="18"/>
      <name val="MB Corpo S Text Office"/>
      <family val="2"/>
    </font>
    <font>
      <b/>
      <sz val="9"/>
      <name val="MB Corpo S Text Office"/>
      <family val="2"/>
    </font>
    <font>
      <sz val="6"/>
      <color rgb="FF333333"/>
      <name val="Arial"/>
      <family val="2"/>
    </font>
    <font>
      <sz val="11"/>
      <color theme="1"/>
      <name val="Aptos Narrow"/>
      <family val="2"/>
      <scheme val="minor"/>
    </font>
    <font>
      <i/>
      <sz val="9"/>
      <color theme="1"/>
      <name val="MB Corpo S Text Office"/>
      <family val="2"/>
    </font>
    <font>
      <b/>
      <sz val="9"/>
      <color theme="1"/>
      <name val="MB Corpo S Text Office"/>
      <family val="2"/>
    </font>
    <font>
      <sz val="9"/>
      <color theme="1"/>
      <name val="MB Corpo S Text Office"/>
      <family val="2"/>
    </font>
    <font>
      <i/>
      <sz val="9"/>
      <color theme="2" tint="-0.249977111117893"/>
      <name val="MB Corpo S Text Office"/>
      <family val="2"/>
    </font>
    <font>
      <b/>
      <sz val="9"/>
      <color rgb="FF000000"/>
      <name val="MB Corpo S Text Office"/>
      <family val="2"/>
    </font>
    <font>
      <b/>
      <sz val="9"/>
      <color theme="0"/>
      <name val="MB Corpo S Text Office"/>
      <family val="2"/>
    </font>
    <font>
      <sz val="9"/>
      <name val="MB Corpo S Text Office"/>
      <family val="2"/>
    </font>
    <font>
      <sz val="9"/>
      <color rgb="FF000000"/>
      <name val="MB Corpo S Text Office"/>
      <family val="2"/>
    </font>
    <font>
      <b/>
      <i/>
      <sz val="10"/>
      <color theme="1"/>
      <name val="MB Corpo S Text Office"/>
      <family val="2"/>
    </font>
    <font>
      <sz val="6"/>
      <color rgb="FF333333"/>
      <name val="MB Corpo S Text Office"/>
      <family val="2"/>
    </font>
    <font>
      <sz val="9"/>
      <color rgb="FF333333"/>
      <name val="MB Corpo S Text Office"/>
      <family val="2"/>
    </font>
    <font>
      <b/>
      <i/>
      <sz val="9"/>
      <color theme="1"/>
      <name val="MB Corpo S Text Office"/>
      <family val="2"/>
    </font>
    <font>
      <b/>
      <i/>
      <sz val="6"/>
      <color theme="1"/>
      <name val="MB Corpo S Text Office"/>
      <family val="2"/>
    </font>
    <font>
      <sz val="6"/>
      <color theme="1"/>
      <name val="MB Corpo S Text Office"/>
      <family val="2"/>
    </font>
    <font>
      <b/>
      <sz val="12"/>
      <color theme="1"/>
      <name val="MB Corpo S Text Office"/>
      <family val="2"/>
    </font>
    <font>
      <b/>
      <u/>
      <sz val="9"/>
      <color theme="1"/>
      <name val="MB Corpo S Text Office"/>
      <family val="2"/>
    </font>
    <font>
      <i/>
      <sz val="9"/>
      <color theme="2" tint="-9.9978637043366805E-2"/>
      <name val="MB Corpo S Text Office"/>
      <family val="2"/>
    </font>
    <font>
      <b/>
      <sz val="9"/>
      <color theme="2" tint="-9.9978637043366805E-2"/>
      <name val="MB Corpo S Text Office"/>
      <family val="2"/>
    </font>
    <font>
      <i/>
      <sz val="9"/>
      <name val="MB Corpo S Text Office"/>
      <family val="2"/>
    </font>
  </fonts>
  <fills count="7">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0.499984740745262"/>
        <bgColor indexed="64"/>
      </patternFill>
    </fill>
  </fills>
  <borders count="38">
    <border>
      <left/>
      <right/>
      <top/>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rgb="FF000000"/>
      </right>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indexed="64"/>
      </left>
      <right style="medium">
        <color indexed="64"/>
      </right>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s>
  <cellStyleXfs count="3">
    <xf numFmtId="0" fontId="0" fillId="0" borderId="0"/>
    <xf numFmtId="0" fontId="1" fillId="0" borderId="0"/>
    <xf numFmtId="43" fontId="13" fillId="0" borderId="0" applyFont="0" applyFill="0" applyBorder="0" applyAlignment="0" applyProtection="0"/>
  </cellStyleXfs>
  <cellXfs count="189">
    <xf numFmtId="0" fontId="0" fillId="0" borderId="0" xfId="0"/>
    <xf numFmtId="0" fontId="3" fillId="2" borderId="1" xfId="1" applyFont="1" applyFill="1" applyBorder="1" applyAlignment="1">
      <alignment horizontal="center" vertical="center"/>
    </xf>
    <xf numFmtId="0" fontId="3" fillId="2" borderId="0" xfId="1" applyFont="1" applyFill="1" applyAlignment="1">
      <alignment horizontal="center" vertical="center"/>
    </xf>
    <xf numFmtId="0" fontId="3" fillId="2" borderId="2" xfId="1" applyFont="1" applyFill="1" applyBorder="1" applyAlignment="1">
      <alignment horizontal="center" vertical="center"/>
    </xf>
    <xf numFmtId="0" fontId="0" fillId="0" borderId="0" xfId="0" applyAlignment="1">
      <alignment horizontal="center" vertical="center"/>
    </xf>
    <xf numFmtId="0" fontId="3" fillId="2" borderId="15" xfId="1" applyFont="1" applyFill="1" applyBorder="1" applyAlignment="1">
      <alignment horizontal="center" vertical="center"/>
    </xf>
    <xf numFmtId="0" fontId="0" fillId="0" borderId="1" xfId="0" applyBorder="1" applyAlignment="1">
      <alignment horizontal="center" vertical="center"/>
    </xf>
    <xf numFmtId="0" fontId="0" fillId="0" borderId="26" xfId="0" applyBorder="1" applyAlignment="1">
      <alignment horizontal="center" vertical="center"/>
    </xf>
    <xf numFmtId="0" fontId="3" fillId="2" borderId="4" xfId="1" applyFont="1" applyFill="1" applyBorder="1" applyAlignment="1">
      <alignment horizontal="center" vertical="center"/>
    </xf>
    <xf numFmtId="0" fontId="0" fillId="0" borderId="5" xfId="0" applyBorder="1" applyAlignment="1">
      <alignment horizontal="center" vertical="center"/>
    </xf>
    <xf numFmtId="0" fontId="2" fillId="0" borderId="0" xfId="0" applyFont="1" applyAlignment="1">
      <alignment horizontal="center" vertical="center"/>
    </xf>
    <xf numFmtId="0" fontId="3" fillId="2" borderId="20" xfId="1"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8" fillId="0" borderId="8" xfId="0" applyFont="1" applyBorder="1" applyAlignment="1">
      <alignment horizontal="center" vertical="center"/>
    </xf>
    <xf numFmtId="0" fontId="4" fillId="0" borderId="10" xfId="0" applyFont="1" applyBorder="1" applyAlignment="1">
      <alignment horizontal="center" vertical="center"/>
    </xf>
    <xf numFmtId="0" fontId="4" fillId="0" borderId="9" xfId="0" applyFont="1" applyBorder="1" applyAlignment="1">
      <alignment horizontal="center" vertical="center"/>
    </xf>
    <xf numFmtId="0" fontId="4" fillId="0" borderId="9" xfId="0" applyFont="1" applyBorder="1" applyAlignment="1">
      <alignment horizontal="center" vertical="center" wrapText="1"/>
    </xf>
    <xf numFmtId="0" fontId="4" fillId="0" borderId="18" xfId="0" applyFont="1" applyBorder="1" applyAlignment="1">
      <alignment horizontal="center" vertical="center" wrapText="1"/>
    </xf>
    <xf numFmtId="0" fontId="8" fillId="0" borderId="6" xfId="0" applyFont="1" applyBorder="1" applyAlignment="1">
      <alignment horizontal="center" vertical="center"/>
    </xf>
    <xf numFmtId="0" fontId="9" fillId="0" borderId="11" xfId="0" applyFont="1" applyBorder="1" applyAlignment="1">
      <alignment horizontal="center" vertical="center"/>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9" fillId="0" borderId="19" xfId="0" applyFont="1" applyBorder="1" applyAlignment="1">
      <alignment horizontal="center" vertical="center" wrapText="1"/>
    </xf>
    <xf numFmtId="0" fontId="4" fillId="0" borderId="8" xfId="0" applyFont="1" applyBorder="1" applyAlignment="1">
      <alignment horizontal="center" vertical="center"/>
    </xf>
    <xf numFmtId="0" fontId="7" fillId="0" borderId="10" xfId="0" applyFont="1" applyBorder="1" applyAlignment="1">
      <alignment horizontal="center" vertical="center"/>
    </xf>
    <xf numFmtId="0" fontId="7" fillId="0" borderId="9" xfId="0" applyFont="1" applyBorder="1" applyAlignment="1">
      <alignment horizontal="center" vertical="center"/>
    </xf>
    <xf numFmtId="0" fontId="7" fillId="0" borderId="18" xfId="0" applyFont="1" applyBorder="1" applyAlignment="1">
      <alignment horizontal="center" vertical="center"/>
    </xf>
    <xf numFmtId="0" fontId="6" fillId="0" borderId="12" xfId="0" applyFont="1" applyBorder="1" applyAlignment="1">
      <alignment horizontal="center" vertical="center" wrapText="1"/>
    </xf>
    <xf numFmtId="0" fontId="6" fillId="0" borderId="13" xfId="0" applyFont="1" applyBorder="1" applyAlignment="1">
      <alignment horizontal="center" vertical="center"/>
    </xf>
    <xf numFmtId="0" fontId="6" fillId="0" borderId="14" xfId="0" applyFont="1" applyBorder="1" applyAlignment="1">
      <alignment horizontal="center" vertical="center" wrapText="1"/>
    </xf>
    <xf numFmtId="0" fontId="12" fillId="0" borderId="0" xfId="0" applyFont="1" applyAlignment="1">
      <alignment horizontal="left" vertical="center" wrapText="1" indent="1"/>
    </xf>
    <xf numFmtId="0" fontId="21" fillId="0" borderId="27" xfId="0" applyFont="1" applyBorder="1" applyAlignment="1">
      <alignment horizontal="left" vertical="center"/>
    </xf>
    <xf numFmtId="165" fontId="21" fillId="0" borderId="31" xfId="2" applyNumberFormat="1" applyFont="1" applyBorder="1" applyAlignment="1" applyProtection="1">
      <alignment horizontal="right" vertical="center"/>
    </xf>
    <xf numFmtId="0" fontId="16" fillId="0" borderId="0" xfId="0" applyFont="1" applyProtection="1">
      <protection locked="0"/>
    </xf>
    <xf numFmtId="0" fontId="16" fillId="0" borderId="0" xfId="0" applyFont="1" applyAlignment="1" applyProtection="1">
      <alignment horizontal="right"/>
      <protection locked="0"/>
    </xf>
    <xf numFmtId="0" fontId="16" fillId="0" borderId="15" xfId="0" applyFont="1" applyBorder="1" applyProtection="1">
      <protection locked="0"/>
    </xf>
    <xf numFmtId="0" fontId="16" fillId="0" borderId="1" xfId="0" applyFont="1" applyBorder="1" applyProtection="1">
      <protection locked="0"/>
    </xf>
    <xf numFmtId="0" fontId="11" fillId="0" borderId="4" xfId="0" applyFont="1" applyBorder="1" applyProtection="1">
      <protection locked="0"/>
    </xf>
    <xf numFmtId="0" fontId="15" fillId="0" borderId="0" xfId="0" applyFont="1" applyProtection="1">
      <protection locked="0"/>
    </xf>
    <xf numFmtId="0" fontId="16" fillId="0" borderId="0" xfId="0" applyFont="1" applyAlignment="1" applyProtection="1">
      <alignment horizontal="left"/>
      <protection locked="0"/>
    </xf>
    <xf numFmtId="0" fontId="16" fillId="0" borderId="5" xfId="0" applyFont="1" applyBorder="1" applyProtection="1">
      <protection locked="0"/>
    </xf>
    <xf numFmtId="0" fontId="20" fillId="0" borderId="4" xfId="0" applyFont="1" applyBorder="1" applyProtection="1">
      <protection locked="0"/>
    </xf>
    <xf numFmtId="0" fontId="15" fillId="0" borderId="5" xfId="0" applyFont="1" applyBorder="1" applyProtection="1">
      <protection locked="0"/>
    </xf>
    <xf numFmtId="0" fontId="16" fillId="0" borderId="4" xfId="0" applyFont="1" applyBorder="1" applyProtection="1">
      <protection locked="0"/>
    </xf>
    <xf numFmtId="0" fontId="22" fillId="0" borderId="0" xfId="0" applyFont="1" applyAlignment="1" applyProtection="1">
      <alignment horizontal="center"/>
      <protection locked="0"/>
    </xf>
    <xf numFmtId="0" fontId="16" fillId="0" borderId="20" xfId="0" applyFont="1" applyBorder="1" applyProtection="1">
      <protection locked="0"/>
    </xf>
    <xf numFmtId="0" fontId="16" fillId="0" borderId="2" xfId="0" applyFont="1" applyBorder="1" applyProtection="1">
      <protection locked="0"/>
    </xf>
    <xf numFmtId="0" fontId="16" fillId="0" borderId="2" xfId="0" applyFont="1" applyBorder="1" applyAlignment="1" applyProtection="1">
      <alignment horizontal="right"/>
      <protection locked="0"/>
    </xf>
    <xf numFmtId="0" fontId="16" fillId="0" borderId="3" xfId="0" applyFont="1" applyBorder="1" applyProtection="1">
      <protection locked="0"/>
    </xf>
    <xf numFmtId="0" fontId="11" fillId="0" borderId="2" xfId="0" applyFont="1" applyBorder="1" applyAlignment="1" applyProtection="1">
      <alignment horizontal="center" vertical="center"/>
      <protection locked="0"/>
    </xf>
    <xf numFmtId="0" fontId="15" fillId="0" borderId="3" xfId="0" applyFont="1" applyBorder="1" applyAlignment="1" applyProtection="1">
      <alignment horizontal="center"/>
      <protection locked="0"/>
    </xf>
    <xf numFmtId="0" fontId="20" fillId="0" borderId="10" xfId="0" applyFont="1" applyBorder="1" applyAlignment="1" applyProtection="1">
      <alignment horizontal="left" vertical="center"/>
      <protection locked="0"/>
    </xf>
    <xf numFmtId="0" fontId="16" fillId="0" borderId="10" xfId="0" applyFont="1" applyBorder="1" applyProtection="1">
      <protection locked="0"/>
    </xf>
    <xf numFmtId="0" fontId="20" fillId="0" borderId="31" xfId="0" applyFont="1" applyBorder="1" applyAlignment="1" applyProtection="1">
      <alignment horizontal="left" vertical="center"/>
      <protection locked="0"/>
    </xf>
    <xf numFmtId="0" fontId="16" fillId="0" borderId="31" xfId="0" applyFont="1" applyBorder="1" applyProtection="1">
      <protection locked="0"/>
    </xf>
    <xf numFmtId="0" fontId="11" fillId="0" borderId="31" xfId="0" applyFont="1" applyBorder="1" applyAlignment="1" applyProtection="1">
      <alignment horizontal="left" vertical="center"/>
      <protection locked="0"/>
    </xf>
    <xf numFmtId="0" fontId="16" fillId="0" borderId="32" xfId="0" applyFont="1" applyBorder="1" applyProtection="1">
      <protection locked="0"/>
    </xf>
    <xf numFmtId="165" fontId="11" fillId="0" borderId="0" xfId="2" applyNumberFormat="1" applyFont="1" applyBorder="1" applyAlignment="1" applyProtection="1">
      <alignment vertical="center" wrapText="1"/>
      <protection locked="0"/>
    </xf>
    <xf numFmtId="165" fontId="20" fillId="0" borderId="10" xfId="2" applyNumberFormat="1" applyFont="1" applyBorder="1" applyAlignment="1" applyProtection="1">
      <alignment horizontal="left" vertical="center" wrapText="1"/>
      <protection locked="0"/>
    </xf>
    <xf numFmtId="0" fontId="16" fillId="0" borderId="18" xfId="0" applyFont="1" applyBorder="1" applyProtection="1">
      <protection locked="0"/>
    </xf>
    <xf numFmtId="165" fontId="20" fillId="0" borderId="31" xfId="2" applyNumberFormat="1" applyFont="1" applyBorder="1" applyAlignment="1" applyProtection="1">
      <alignment horizontal="left" vertical="center" wrapText="1"/>
      <protection locked="0"/>
    </xf>
    <xf numFmtId="0" fontId="16" fillId="0" borderId="29" xfId="0" applyFont="1" applyBorder="1" applyProtection="1">
      <protection locked="0"/>
    </xf>
    <xf numFmtId="0" fontId="24" fillId="0" borderId="0" xfId="0" applyFont="1" applyAlignment="1" applyProtection="1">
      <alignment horizontal="left" vertical="center" wrapText="1"/>
      <protection locked="0"/>
    </xf>
    <xf numFmtId="0" fontId="16" fillId="0" borderId="34" xfId="0" applyFont="1" applyBorder="1" applyProtection="1">
      <protection locked="0"/>
    </xf>
    <xf numFmtId="165" fontId="11" fillId="0" borderId="1" xfId="2" applyNumberFormat="1" applyFont="1" applyBorder="1" applyAlignment="1" applyProtection="1">
      <alignment vertical="center" wrapText="1"/>
      <protection locked="0"/>
    </xf>
    <xf numFmtId="165" fontId="20" fillId="0" borderId="10" xfId="2" applyNumberFormat="1" applyFont="1" applyBorder="1" applyAlignment="1" applyProtection="1">
      <alignment vertical="center" wrapText="1"/>
      <protection locked="0"/>
    </xf>
    <xf numFmtId="165" fontId="20" fillId="0" borderId="10" xfId="2" applyNumberFormat="1" applyFont="1" applyBorder="1" applyAlignment="1" applyProtection="1">
      <alignment horizontal="right" vertical="center"/>
      <protection locked="0"/>
    </xf>
    <xf numFmtId="165" fontId="20" fillId="0" borderId="31" xfId="2" applyNumberFormat="1" applyFont="1" applyBorder="1" applyAlignment="1" applyProtection="1">
      <alignment vertical="center" wrapText="1"/>
      <protection locked="0"/>
    </xf>
    <xf numFmtId="165" fontId="20" fillId="0" borderId="31" xfId="2" applyNumberFormat="1" applyFont="1" applyBorder="1" applyAlignment="1" applyProtection="1">
      <alignment horizontal="right" vertical="center"/>
      <protection locked="0"/>
    </xf>
    <xf numFmtId="165" fontId="11" fillId="0" borderId="31" xfId="2" applyNumberFormat="1" applyFont="1" applyBorder="1" applyAlignment="1" applyProtection="1">
      <alignment vertical="center"/>
      <protection locked="0"/>
    </xf>
    <xf numFmtId="165" fontId="11" fillId="4" borderId="2" xfId="2" applyNumberFormat="1" applyFont="1" applyFill="1" applyBorder="1" applyAlignment="1" applyProtection="1">
      <alignment vertical="center" wrapText="1"/>
      <protection locked="0"/>
    </xf>
    <xf numFmtId="165" fontId="20" fillId="0" borderId="0" xfId="2" applyNumberFormat="1" applyFont="1" applyBorder="1" applyAlignment="1" applyProtection="1">
      <alignment horizontal="left" vertical="center"/>
      <protection locked="0"/>
    </xf>
    <xf numFmtId="165" fontId="11" fillId="0" borderId="10" xfId="2" applyNumberFormat="1" applyFont="1" applyBorder="1" applyAlignment="1" applyProtection="1">
      <alignment horizontal="center" vertical="center"/>
      <protection locked="0"/>
    </xf>
    <xf numFmtId="165" fontId="20" fillId="0" borderId="31" xfId="2" applyNumberFormat="1" applyFont="1" applyBorder="1" applyAlignment="1" applyProtection="1">
      <alignment horizontal="left" vertical="center"/>
      <protection locked="0"/>
    </xf>
    <xf numFmtId="165" fontId="20" fillId="0" borderId="32" xfId="2" applyNumberFormat="1" applyFont="1" applyBorder="1" applyAlignment="1" applyProtection="1">
      <alignment horizontal="left" vertical="center"/>
      <protection locked="0"/>
    </xf>
    <xf numFmtId="165" fontId="11" fillId="4" borderId="0" xfId="2" applyNumberFormat="1" applyFont="1" applyFill="1" applyBorder="1" applyAlignment="1" applyProtection="1">
      <alignment horizontal="center" vertical="center" wrapText="1"/>
      <protection locked="0"/>
    </xf>
    <xf numFmtId="165" fontId="20" fillId="2" borderId="11" xfId="2" applyNumberFormat="1" applyFont="1" applyFill="1" applyBorder="1" applyAlignment="1" applyProtection="1">
      <alignment vertical="center" wrapText="1"/>
      <protection locked="0"/>
    </xf>
    <xf numFmtId="0" fontId="16" fillId="0" borderId="11" xfId="0" applyFont="1" applyBorder="1" applyProtection="1">
      <protection locked="0"/>
    </xf>
    <xf numFmtId="165" fontId="20" fillId="2" borderId="31" xfId="2" applyNumberFormat="1" applyFont="1" applyFill="1" applyBorder="1" applyAlignment="1" applyProtection="1">
      <alignment vertical="center" wrapText="1"/>
      <protection locked="0"/>
    </xf>
    <xf numFmtId="165" fontId="11" fillId="2" borderId="31" xfId="2" applyNumberFormat="1" applyFont="1" applyFill="1" applyBorder="1" applyAlignment="1" applyProtection="1">
      <alignment vertical="center" wrapText="1"/>
      <protection locked="0"/>
    </xf>
    <xf numFmtId="165" fontId="11" fillId="4" borderId="0" xfId="2" applyNumberFormat="1" applyFont="1" applyFill="1" applyBorder="1" applyAlignment="1" applyProtection="1">
      <alignment vertical="center" wrapText="1"/>
      <protection locked="0"/>
    </xf>
    <xf numFmtId="165" fontId="11" fillId="2" borderId="4" xfId="2" applyNumberFormat="1" applyFont="1" applyFill="1" applyBorder="1" applyAlignment="1" applyProtection="1">
      <alignment horizontal="center" vertical="center" wrapText="1"/>
      <protection locked="0"/>
    </xf>
    <xf numFmtId="165" fontId="20" fillId="2" borderId="0" xfId="2" applyNumberFormat="1" applyFont="1" applyFill="1" applyBorder="1" applyAlignment="1" applyProtection="1">
      <alignment horizontal="center" vertical="center" wrapText="1"/>
      <protection locked="0"/>
    </xf>
    <xf numFmtId="165" fontId="11" fillId="2" borderId="0" xfId="2" applyNumberFormat="1" applyFont="1" applyFill="1" applyBorder="1" applyAlignment="1" applyProtection="1">
      <alignment horizontal="right" vertical="center"/>
      <protection locked="0"/>
    </xf>
    <xf numFmtId="165" fontId="11" fillId="0" borderId="4" xfId="2" applyNumberFormat="1" applyFont="1" applyBorder="1" applyAlignment="1" applyProtection="1">
      <alignment horizontal="left" vertical="center" wrapText="1"/>
      <protection locked="0"/>
    </xf>
    <xf numFmtId="0" fontId="14" fillId="0" borderId="0" xfId="0" applyFont="1" applyProtection="1">
      <protection locked="0"/>
    </xf>
    <xf numFmtId="165" fontId="11" fillId="0" borderId="16" xfId="2" applyNumberFormat="1" applyFont="1" applyBorder="1" applyAlignment="1" applyProtection="1">
      <alignment horizontal="left" vertical="center" wrapText="1"/>
      <protection locked="0"/>
    </xf>
    <xf numFmtId="0" fontId="25" fillId="0" borderId="13" xfId="0" applyFont="1" applyBorder="1" applyProtection="1">
      <protection locked="0"/>
    </xf>
    <xf numFmtId="0" fontId="15" fillId="0" borderId="30" xfId="0" applyFont="1" applyBorder="1" applyAlignment="1" applyProtection="1">
      <alignment horizontal="center"/>
      <protection locked="0"/>
    </xf>
    <xf numFmtId="165" fontId="16" fillId="0" borderId="8" xfId="2" applyNumberFormat="1" applyFont="1" applyBorder="1" applyAlignment="1" applyProtection="1">
      <alignment horizontal="right"/>
      <protection locked="0"/>
    </xf>
    <xf numFmtId="0" fontId="16" fillId="0" borderId="8" xfId="0" applyFont="1" applyBorder="1" applyAlignment="1" applyProtection="1">
      <alignment horizontal="center"/>
      <protection locked="0"/>
    </xf>
    <xf numFmtId="0" fontId="16" fillId="0" borderId="10" xfId="0" applyFont="1" applyBorder="1" applyAlignment="1" applyProtection="1">
      <alignment horizontal="left"/>
      <protection locked="0"/>
    </xf>
    <xf numFmtId="0" fontId="16" fillId="0" borderId="28" xfId="0" applyFont="1" applyBorder="1" applyAlignment="1" applyProtection="1">
      <alignment horizontal="right"/>
      <protection locked="0"/>
    </xf>
    <xf numFmtId="0" fontId="16" fillId="0" borderId="31" xfId="0" applyFont="1" applyBorder="1" applyAlignment="1" applyProtection="1">
      <alignment wrapText="1"/>
      <protection locked="0"/>
    </xf>
    <xf numFmtId="0" fontId="14" fillId="0" borderId="2" xfId="0" applyFont="1" applyBorder="1" applyProtection="1">
      <protection locked="0"/>
    </xf>
    <xf numFmtId="0" fontId="16" fillId="0" borderId="35" xfId="0" applyFont="1" applyBorder="1" applyAlignment="1" applyProtection="1">
      <alignment horizontal="right"/>
      <protection locked="0"/>
    </xf>
    <xf numFmtId="0" fontId="16" fillId="0" borderId="0" xfId="0" applyFont="1" applyAlignment="1" applyProtection="1">
      <alignment horizontal="center"/>
      <protection locked="0"/>
    </xf>
    <xf numFmtId="165" fontId="11" fillId="0" borderId="0" xfId="2" applyNumberFormat="1" applyFont="1" applyBorder="1" applyAlignment="1" applyProtection="1">
      <alignment horizontal="left" vertical="center" wrapText="1"/>
      <protection locked="0"/>
    </xf>
    <xf numFmtId="0" fontId="23" fillId="0" borderId="0" xfId="0" applyFont="1" applyAlignment="1" applyProtection="1">
      <alignment horizontal="left" vertical="center" wrapText="1" indent="1"/>
      <protection locked="0"/>
    </xf>
    <xf numFmtId="0" fontId="26" fillId="0" borderId="0" xfId="0" applyFont="1" applyProtection="1">
      <protection locked="0"/>
    </xf>
    <xf numFmtId="0" fontId="27" fillId="0" borderId="0" xfId="0" applyFont="1" applyProtection="1">
      <protection locked="0"/>
    </xf>
    <xf numFmtId="0" fontId="27" fillId="0" borderId="0" xfId="0" applyFont="1" applyAlignment="1" applyProtection="1">
      <alignment horizontal="right"/>
      <protection locked="0"/>
    </xf>
    <xf numFmtId="165" fontId="11" fillId="0" borderId="31" xfId="2" applyNumberFormat="1" applyFont="1" applyBorder="1" applyAlignment="1" applyProtection="1">
      <alignment horizontal="right" vertical="center"/>
    </xf>
    <xf numFmtId="165" fontId="16" fillId="0" borderId="28" xfId="2" applyNumberFormat="1" applyFont="1" applyBorder="1" applyAlignment="1" applyProtection="1">
      <alignment horizontal="right"/>
    </xf>
    <xf numFmtId="165" fontId="16" fillId="0" borderId="35" xfId="2" applyNumberFormat="1" applyFont="1" applyBorder="1" applyAlignment="1" applyProtection="1">
      <alignment horizontal="right"/>
    </xf>
    <xf numFmtId="0" fontId="16" fillId="0" borderId="6" xfId="0" applyFont="1" applyBorder="1" applyAlignment="1" applyProtection="1">
      <alignment horizontal="center"/>
      <protection locked="0"/>
    </xf>
    <xf numFmtId="0" fontId="16" fillId="0" borderId="11" xfId="0" applyFont="1" applyBorder="1" applyAlignment="1" applyProtection="1">
      <alignment horizontal="left"/>
      <protection locked="0"/>
    </xf>
    <xf numFmtId="43" fontId="20" fillId="2" borderId="31" xfId="0" applyNumberFormat="1" applyFont="1" applyFill="1" applyBorder="1" applyAlignment="1">
      <alignment horizontal="right" vertical="center"/>
    </xf>
    <xf numFmtId="3" fontId="20" fillId="2" borderId="31" xfId="0" applyNumberFormat="1" applyFont="1" applyFill="1" applyBorder="1" applyAlignment="1">
      <alignment horizontal="right" vertical="center"/>
    </xf>
    <xf numFmtId="3" fontId="20" fillId="0" borderId="32" xfId="0" applyNumberFormat="1" applyFont="1" applyBorder="1" applyAlignment="1">
      <alignment horizontal="right" vertical="center"/>
    </xf>
    <xf numFmtId="3" fontId="20" fillId="2" borderId="11" xfId="2" applyNumberFormat="1" applyFont="1" applyFill="1" applyBorder="1" applyAlignment="1" applyProtection="1">
      <alignment horizontal="right" vertical="center"/>
      <protection locked="0"/>
    </xf>
    <xf numFmtId="3" fontId="20" fillId="2" borderId="31" xfId="2" applyNumberFormat="1" applyFont="1" applyFill="1" applyBorder="1" applyAlignment="1" applyProtection="1">
      <alignment horizontal="right" vertical="center"/>
      <protection locked="0"/>
    </xf>
    <xf numFmtId="3" fontId="11" fillId="2" borderId="31" xfId="2" applyNumberFormat="1" applyFont="1" applyFill="1" applyBorder="1" applyAlignment="1" applyProtection="1">
      <alignment horizontal="right" vertical="center"/>
    </xf>
    <xf numFmtId="165" fontId="11" fillId="5" borderId="11" xfId="2" applyNumberFormat="1" applyFont="1" applyFill="1" applyBorder="1" applyAlignment="1" applyProtection="1">
      <alignment horizontal="center" vertical="center"/>
      <protection locked="0"/>
    </xf>
    <xf numFmtId="165" fontId="21" fillId="5" borderId="10" xfId="2" applyNumberFormat="1" applyFont="1" applyFill="1" applyBorder="1" applyAlignment="1" applyProtection="1">
      <alignment horizontal="right" vertical="center"/>
      <protection locked="0"/>
    </xf>
    <xf numFmtId="165" fontId="21" fillId="5" borderId="31" xfId="2" applyNumberFormat="1" applyFont="1" applyFill="1" applyBorder="1" applyAlignment="1" applyProtection="1">
      <alignment horizontal="right" vertical="center"/>
      <protection locked="0"/>
    </xf>
    <xf numFmtId="165" fontId="11" fillId="6" borderId="32" xfId="2" applyNumberFormat="1" applyFont="1" applyFill="1" applyBorder="1" applyAlignment="1" applyProtection="1">
      <alignment horizontal="right" vertical="center"/>
      <protection locked="0"/>
    </xf>
    <xf numFmtId="165" fontId="11" fillId="6" borderId="32" xfId="2" applyNumberFormat="1" applyFont="1" applyFill="1" applyBorder="1" applyAlignment="1" applyProtection="1">
      <alignment horizontal="right" vertical="center"/>
    </xf>
    <xf numFmtId="165" fontId="20" fillId="5" borderId="10" xfId="2" applyNumberFormat="1" applyFont="1" applyFill="1" applyBorder="1" applyAlignment="1" applyProtection="1">
      <alignment horizontal="right" vertical="center"/>
      <protection locked="0"/>
    </xf>
    <xf numFmtId="165" fontId="20" fillId="5" borderId="18" xfId="2" applyNumberFormat="1" applyFont="1" applyFill="1" applyBorder="1" applyAlignment="1" applyProtection="1">
      <alignment horizontal="right" vertical="center"/>
      <protection locked="0"/>
    </xf>
    <xf numFmtId="165" fontId="20" fillId="5" borderId="31" xfId="2" applyNumberFormat="1" applyFont="1" applyFill="1" applyBorder="1" applyAlignment="1" applyProtection="1">
      <alignment horizontal="right" vertical="center"/>
      <protection locked="0"/>
    </xf>
    <xf numFmtId="165" fontId="20" fillId="5" borderId="29" xfId="2" applyNumberFormat="1" applyFont="1" applyFill="1" applyBorder="1" applyAlignment="1" applyProtection="1">
      <alignment horizontal="right" vertical="center"/>
      <protection locked="0"/>
    </xf>
    <xf numFmtId="1" fontId="20" fillId="5" borderId="31" xfId="2" applyNumberFormat="1" applyFont="1" applyFill="1" applyBorder="1" applyAlignment="1" applyProtection="1">
      <alignment horizontal="right" vertical="center"/>
    </xf>
    <xf numFmtId="1" fontId="20" fillId="5" borderId="29" xfId="2" applyNumberFormat="1" applyFont="1" applyFill="1" applyBorder="1" applyAlignment="1" applyProtection="1">
      <alignment horizontal="right" vertical="center"/>
    </xf>
    <xf numFmtId="165" fontId="11" fillId="6" borderId="34" xfId="2" applyNumberFormat="1" applyFont="1" applyFill="1" applyBorder="1" applyAlignment="1" applyProtection="1">
      <alignment horizontal="right" vertical="center"/>
    </xf>
    <xf numFmtId="165" fontId="11" fillId="6" borderId="32" xfId="2" applyNumberFormat="1" applyFont="1" applyFill="1" applyBorder="1" applyAlignment="1" applyProtection="1">
      <alignment vertical="center" wrapText="1"/>
      <protection locked="0"/>
    </xf>
    <xf numFmtId="166" fontId="20" fillId="5" borderId="31" xfId="0" applyNumberFormat="1" applyFont="1" applyFill="1" applyBorder="1" applyAlignment="1" applyProtection="1">
      <alignment horizontal="right" vertical="center"/>
      <protection locked="0"/>
    </xf>
    <xf numFmtId="0" fontId="20" fillId="5" borderId="31" xfId="0" applyFont="1" applyFill="1" applyBorder="1" applyAlignment="1" applyProtection="1">
      <alignment horizontal="right" vertical="center"/>
      <protection locked="0"/>
    </xf>
    <xf numFmtId="3" fontId="20" fillId="5" borderId="31" xfId="0" applyNumberFormat="1" applyFont="1" applyFill="1" applyBorder="1" applyAlignment="1" applyProtection="1">
      <alignment horizontal="right" vertical="center"/>
      <protection locked="0"/>
    </xf>
    <xf numFmtId="10" fontId="20" fillId="5" borderId="31" xfId="0" applyNumberFormat="1" applyFont="1" applyFill="1" applyBorder="1" applyAlignment="1" applyProtection="1">
      <alignment horizontal="right" vertical="center"/>
      <protection locked="0"/>
    </xf>
    <xf numFmtId="43" fontId="20" fillId="5" borderId="31" xfId="0" applyNumberFormat="1" applyFont="1" applyFill="1" applyBorder="1" applyAlignment="1" applyProtection="1">
      <alignment horizontal="right" vertical="center"/>
      <protection locked="0"/>
    </xf>
    <xf numFmtId="3" fontId="20" fillId="5" borderId="11" xfId="2" applyNumberFormat="1" applyFont="1" applyFill="1" applyBorder="1" applyAlignment="1" applyProtection="1">
      <alignment horizontal="right" vertical="center"/>
      <protection locked="0"/>
    </xf>
    <xf numFmtId="3" fontId="20" fillId="5" borderId="31" xfId="2" applyNumberFormat="1" applyFont="1" applyFill="1" applyBorder="1" applyAlignment="1" applyProtection="1">
      <alignment horizontal="right" vertical="center"/>
      <protection locked="0"/>
    </xf>
    <xf numFmtId="0" fontId="32" fillId="5" borderId="4" xfId="0" applyFont="1" applyFill="1" applyBorder="1" applyProtection="1">
      <protection locked="0"/>
    </xf>
    <xf numFmtId="0" fontId="20" fillId="5" borderId="4" xfId="0" applyFont="1" applyFill="1" applyBorder="1" applyProtection="1">
      <protection locked="0"/>
    </xf>
    <xf numFmtId="0" fontId="16" fillId="5" borderId="20" xfId="0" applyFont="1" applyFill="1" applyBorder="1" applyProtection="1">
      <protection locked="0"/>
    </xf>
    <xf numFmtId="0" fontId="16" fillId="5" borderId="0" xfId="0" applyFont="1" applyFill="1" applyAlignment="1" applyProtection="1">
      <alignment horizontal="left"/>
      <protection locked="0"/>
    </xf>
    <xf numFmtId="0" fontId="16" fillId="5" borderId="0" xfId="0" applyFont="1" applyFill="1" applyAlignment="1" applyProtection="1">
      <alignment horizontal="right"/>
      <protection locked="0"/>
    </xf>
    <xf numFmtId="165" fontId="21" fillId="5" borderId="31" xfId="2" applyNumberFormat="1" applyFont="1" applyFill="1" applyBorder="1" applyAlignment="1" applyProtection="1">
      <alignment horizontal="right" vertical="center"/>
    </xf>
    <xf numFmtId="3" fontId="20" fillId="5" borderId="31" xfId="0" applyNumberFormat="1" applyFont="1" applyFill="1" applyBorder="1" applyAlignment="1">
      <alignment horizontal="right" vertical="center"/>
    </xf>
    <xf numFmtId="0" fontId="17" fillId="5" borderId="4" xfId="0" applyFont="1" applyFill="1" applyBorder="1" applyProtection="1">
      <protection locked="0"/>
    </xf>
    <xf numFmtId="0" fontId="16" fillId="5" borderId="4" xfId="0" applyFont="1" applyFill="1" applyBorder="1" applyProtection="1">
      <protection locked="0"/>
    </xf>
    <xf numFmtId="165" fontId="16" fillId="5" borderId="8" xfId="2" applyNumberFormat="1" applyFont="1" applyFill="1" applyBorder="1" applyAlignment="1" applyProtection="1">
      <alignment horizontal="right"/>
      <protection locked="0"/>
    </xf>
    <xf numFmtId="165" fontId="16" fillId="0" borderId="0" xfId="0" applyNumberFormat="1" applyFont="1" applyAlignment="1" applyProtection="1">
      <alignment horizontal="right"/>
      <protection locked="0"/>
    </xf>
    <xf numFmtId="165" fontId="16" fillId="0" borderId="37" xfId="2" applyNumberFormat="1" applyFont="1" applyBorder="1" applyAlignment="1" applyProtection="1">
      <alignment horizontal="right"/>
    </xf>
    <xf numFmtId="0" fontId="16" fillId="0" borderId="36" xfId="0" applyFont="1" applyBorder="1" applyAlignment="1" applyProtection="1">
      <alignment wrapText="1"/>
      <protection locked="0"/>
    </xf>
    <xf numFmtId="0" fontId="16" fillId="0" borderId="16" xfId="0" applyFont="1" applyBorder="1" applyAlignment="1" applyProtection="1">
      <alignment horizontal="center"/>
      <protection locked="0"/>
    </xf>
    <xf numFmtId="0" fontId="16" fillId="0" borderId="25" xfId="0" applyFont="1" applyBorder="1" applyAlignment="1" applyProtection="1">
      <alignment horizontal="center"/>
      <protection locked="0"/>
    </xf>
    <xf numFmtId="0" fontId="16" fillId="0" borderId="33" xfId="0" applyFont="1" applyBorder="1" applyAlignment="1" applyProtection="1">
      <alignment horizontal="center"/>
      <protection locked="0"/>
    </xf>
    <xf numFmtId="165" fontId="11" fillId="0" borderId="16" xfId="2" applyNumberFormat="1" applyFont="1" applyBorder="1" applyAlignment="1" applyProtection="1">
      <alignment horizontal="center" vertical="center" wrapText="1"/>
      <protection locked="0"/>
    </xf>
    <xf numFmtId="165" fontId="11" fillId="0" borderId="25" xfId="2" applyNumberFormat="1" applyFont="1" applyBorder="1" applyAlignment="1" applyProtection="1">
      <alignment horizontal="center" vertical="center" wrapText="1"/>
      <protection locked="0"/>
    </xf>
    <xf numFmtId="165" fontId="11" fillId="0" borderId="33" xfId="2" applyNumberFormat="1" applyFont="1" applyBorder="1" applyAlignment="1" applyProtection="1">
      <alignment horizontal="center" vertical="center" wrapText="1"/>
      <protection locked="0"/>
    </xf>
    <xf numFmtId="165" fontId="11" fillId="2" borderId="25" xfId="2" applyNumberFormat="1" applyFont="1" applyFill="1" applyBorder="1" applyAlignment="1" applyProtection="1">
      <alignment horizontal="center" vertical="center" wrapText="1"/>
      <protection locked="0"/>
    </xf>
    <xf numFmtId="165" fontId="11" fillId="2" borderId="33" xfId="2" applyNumberFormat="1" applyFont="1" applyFill="1" applyBorder="1" applyAlignment="1" applyProtection="1">
      <alignment horizontal="center" vertical="center" wrapText="1"/>
      <protection locked="0"/>
    </xf>
    <xf numFmtId="0" fontId="18" fillId="0" borderId="20" xfId="0" applyFont="1" applyBorder="1" applyAlignment="1" applyProtection="1">
      <alignment horizontal="center" vertical="center"/>
      <protection locked="0"/>
    </xf>
    <xf numFmtId="0" fontId="18" fillId="0" borderId="2" xfId="0" applyFont="1" applyBorder="1" applyAlignment="1" applyProtection="1">
      <alignment horizontal="center" vertical="center"/>
      <protection locked="0"/>
    </xf>
    <xf numFmtId="0" fontId="19" fillId="3" borderId="4"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xf numFmtId="0" fontId="19" fillId="3" borderId="5" xfId="0" applyFont="1" applyFill="1" applyBorder="1" applyAlignment="1" applyProtection="1">
      <alignment horizontal="center" vertical="center"/>
      <protection locked="0"/>
    </xf>
    <xf numFmtId="0" fontId="28" fillId="0" borderId="15" xfId="0" applyFont="1" applyBorder="1" applyAlignment="1" applyProtection="1">
      <alignment horizontal="center" vertical="center"/>
      <protection locked="0"/>
    </xf>
    <xf numFmtId="0" fontId="28" fillId="0" borderId="1" xfId="0" applyFont="1" applyBorder="1" applyAlignment="1" applyProtection="1">
      <alignment horizontal="center" vertical="center"/>
      <protection locked="0"/>
    </xf>
    <xf numFmtId="0" fontId="28" fillId="0" borderId="26" xfId="0" applyFont="1" applyBorder="1" applyAlignment="1" applyProtection="1">
      <alignment horizontal="center" vertical="center"/>
      <protection locked="0"/>
    </xf>
    <xf numFmtId="164" fontId="15" fillId="0" borderId="1" xfId="0" applyNumberFormat="1" applyFont="1" applyBorder="1" applyAlignment="1">
      <alignment horizontal="center"/>
    </xf>
    <xf numFmtId="164" fontId="15" fillId="0" borderId="26" xfId="0" applyNumberFormat="1" applyFont="1" applyBorder="1" applyAlignment="1">
      <alignment horizontal="center"/>
    </xf>
    <xf numFmtId="165" fontId="11" fillId="0" borderId="16" xfId="2" applyNumberFormat="1" applyFont="1" applyBorder="1" applyAlignment="1" applyProtection="1">
      <alignment horizontal="center" vertical="center"/>
      <protection locked="0"/>
    </xf>
    <xf numFmtId="165" fontId="11" fillId="0" borderId="25" xfId="2" applyNumberFormat="1" applyFont="1" applyBorder="1" applyAlignment="1" applyProtection="1">
      <alignment horizontal="center" vertical="center"/>
      <protection locked="0"/>
    </xf>
    <xf numFmtId="165" fontId="11" fillId="0" borderId="33" xfId="2" applyNumberFormat="1" applyFont="1" applyBorder="1" applyAlignment="1" applyProtection="1">
      <alignment horizontal="center" vertical="center"/>
      <protection locked="0"/>
    </xf>
    <xf numFmtId="0" fontId="11" fillId="0" borderId="15" xfId="0"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20" xfId="0" applyFont="1" applyBorder="1" applyAlignment="1" applyProtection="1">
      <alignment horizontal="center" vertical="center" wrapText="1"/>
      <protection locked="0"/>
    </xf>
    <xf numFmtId="0" fontId="11" fillId="0" borderId="2" xfId="0" applyFont="1" applyBorder="1" applyAlignment="1" applyProtection="1">
      <alignment horizontal="center" vertical="center" wrapText="1"/>
      <protection locked="0"/>
    </xf>
    <xf numFmtId="165" fontId="19" fillId="3" borderId="4" xfId="2" applyNumberFormat="1" applyFont="1" applyFill="1" applyBorder="1" applyAlignment="1" applyProtection="1">
      <alignment horizontal="center" vertical="center"/>
      <protection locked="0"/>
    </xf>
    <xf numFmtId="165" fontId="19" fillId="3" borderId="0" xfId="2" applyNumberFormat="1" applyFont="1" applyFill="1" applyBorder="1" applyAlignment="1" applyProtection="1">
      <alignment horizontal="center" vertical="center"/>
      <protection locked="0"/>
    </xf>
    <xf numFmtId="165" fontId="19" fillId="3" borderId="5" xfId="2" applyNumberFormat="1" applyFont="1" applyFill="1" applyBorder="1" applyAlignment="1" applyProtection="1">
      <alignment horizontal="center" vertical="center"/>
      <protection locked="0"/>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5" fillId="0" borderId="25"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0" xfId="0" applyFont="1" applyAlignment="1">
      <alignment horizontal="center" vertical="center" wrapText="1"/>
    </xf>
    <xf numFmtId="0" fontId="5" fillId="0" borderId="17" xfId="0" applyFont="1" applyBorder="1" applyAlignment="1">
      <alignment horizontal="center" vertical="center" wrapText="1"/>
    </xf>
    <xf numFmtId="0" fontId="10" fillId="2" borderId="21" xfId="1" applyFont="1" applyFill="1" applyBorder="1" applyAlignment="1">
      <alignment horizontal="center" vertical="center"/>
    </xf>
    <xf numFmtId="0" fontId="10" fillId="2" borderId="22" xfId="1" applyFont="1" applyFill="1" applyBorder="1" applyAlignment="1">
      <alignment horizontal="center" vertical="center"/>
    </xf>
    <xf numFmtId="0" fontId="10" fillId="2" borderId="23" xfId="1" applyFont="1" applyFill="1" applyBorder="1" applyAlignment="1">
      <alignment horizontal="center" vertical="center"/>
    </xf>
    <xf numFmtId="0" fontId="10" fillId="2" borderId="24" xfId="1" applyFont="1" applyFill="1" applyBorder="1" applyAlignment="1">
      <alignment horizontal="center" vertical="center"/>
    </xf>
    <xf numFmtId="0" fontId="10" fillId="2" borderId="0" xfId="1" applyFont="1" applyFill="1" applyAlignment="1">
      <alignment horizontal="center" vertical="center"/>
    </xf>
    <xf numFmtId="0" fontId="10" fillId="2" borderId="17" xfId="1" applyFont="1" applyFill="1" applyBorder="1" applyAlignment="1">
      <alignment horizontal="center" vertical="center"/>
    </xf>
  </cellXfs>
  <cellStyles count="3">
    <cellStyle name="Comma" xfId="2" builtinId="3"/>
    <cellStyle name="Nor}al" xfId="1" xr:uid="{4ACD56D7-D008-4756-8A83-0EB64204F8A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221486</xdr:colOff>
      <xdr:row>3</xdr:row>
      <xdr:rowOff>66115</xdr:rowOff>
    </xdr:from>
    <xdr:to>
      <xdr:col>5</xdr:col>
      <xdr:colOff>19049</xdr:colOff>
      <xdr:row>4</xdr:row>
      <xdr:rowOff>82550</xdr:rowOff>
    </xdr:to>
    <xdr:sp macro="" textlink="">
      <xdr:nvSpPr>
        <xdr:cNvPr id="2" name="TextBox 1">
          <a:extLst>
            <a:ext uri="{FF2B5EF4-FFF2-40B4-BE49-F238E27FC236}">
              <a16:creationId xmlns:a16="http://schemas.microsoft.com/office/drawing/2014/main" id="{36C64514-C6F9-47FD-957E-6C62C0B53529}"/>
            </a:ext>
          </a:extLst>
        </xdr:cNvPr>
        <xdr:cNvSpPr txBox="1"/>
      </xdr:nvSpPr>
      <xdr:spPr>
        <a:xfrm>
          <a:off x="3593336" y="624915"/>
          <a:ext cx="8490714" cy="200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marL="0" indent="0"/>
          <a:r>
            <a:rPr lang="en-US" sz="1100" b="1" i="0" u="none" strike="noStrike">
              <a:solidFill>
                <a:srgbClr val="000000"/>
              </a:solidFill>
              <a:effectLst/>
              <a:latin typeface="Calibri"/>
              <a:ea typeface="+mn-ea"/>
              <a:cs typeface="Calibri"/>
            </a:rPr>
            <a:t>Franchisee Partner Details :</a:t>
          </a:r>
        </a:p>
      </xdr:txBody>
    </xdr:sp>
    <xdr:clientData/>
  </xdr:twoCellAnchor>
  <xdr:twoCellAnchor editAs="oneCell">
    <xdr:from>
      <xdr:col>0</xdr:col>
      <xdr:colOff>50800</xdr:colOff>
      <xdr:row>2</xdr:row>
      <xdr:rowOff>30777</xdr:rowOff>
    </xdr:from>
    <xdr:to>
      <xdr:col>1</xdr:col>
      <xdr:colOff>428203</xdr:colOff>
      <xdr:row>6</xdr:row>
      <xdr:rowOff>153989</xdr:rowOff>
    </xdr:to>
    <xdr:pic>
      <xdr:nvPicPr>
        <xdr:cNvPr id="3" name="Picture 2">
          <a:extLst>
            <a:ext uri="{FF2B5EF4-FFF2-40B4-BE49-F238E27FC236}">
              <a16:creationId xmlns:a16="http://schemas.microsoft.com/office/drawing/2014/main" id="{5D3AE08B-DFA0-4748-A8F0-1561ADE9E51A}"/>
            </a:ext>
          </a:extLst>
        </xdr:cNvPr>
        <xdr:cNvPicPr>
          <a:picLocks noChangeAspect="1"/>
        </xdr:cNvPicPr>
      </xdr:nvPicPr>
      <xdr:blipFill>
        <a:blip xmlns:r="http://schemas.openxmlformats.org/officeDocument/2006/relationships" r:embed="rId1"/>
        <a:stretch>
          <a:fillRect/>
        </a:stretch>
      </xdr:blipFill>
      <xdr:spPr>
        <a:xfrm>
          <a:off x="50800" y="405427"/>
          <a:ext cx="1736303" cy="859812"/>
        </a:xfrm>
        <a:prstGeom prst="rect">
          <a:avLst/>
        </a:prstGeom>
      </xdr:spPr>
    </xdr:pic>
    <xdr:clientData/>
  </xdr:twoCellAnchor>
  <xdr:twoCellAnchor editAs="oneCell">
    <xdr:from>
      <xdr:col>7</xdr:col>
      <xdr:colOff>3037717</xdr:colOff>
      <xdr:row>0</xdr:row>
      <xdr:rowOff>50516</xdr:rowOff>
    </xdr:from>
    <xdr:to>
      <xdr:col>8</xdr:col>
      <xdr:colOff>1135870</xdr:colOff>
      <xdr:row>1</xdr:row>
      <xdr:rowOff>116059</xdr:rowOff>
    </xdr:to>
    <xdr:pic>
      <xdr:nvPicPr>
        <xdr:cNvPr id="11" name="Picture 3">
          <a:extLst>
            <a:ext uri="{FF2B5EF4-FFF2-40B4-BE49-F238E27FC236}">
              <a16:creationId xmlns:a16="http://schemas.microsoft.com/office/drawing/2014/main" id="{29AF2460-E7ED-4B4E-B4CA-ED310DA34864}"/>
            </a:ext>
            <a:ext uri="{147F2762-F138-4A5C-976F-8EAC2B608ADB}">
              <a16:predDERef xmlns:a16="http://schemas.microsoft.com/office/drawing/2014/main" pred="{5D3AE08B-DFA0-4748-A8F0-1561ADE9E51A}"/>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saturation sat="109000"/>
                  </a14:imgEffect>
                  <a14:imgEffect>
                    <a14:brightnessContrast contrast="13000"/>
                  </a14:imgEffect>
                </a14:imgLayer>
              </a14:imgProps>
            </a:ext>
            <a:ext uri="{28A0092B-C50C-407E-A947-70E740481C1C}">
              <a14:useLocalDpi xmlns:a14="http://schemas.microsoft.com/office/drawing/2010/main" val="0"/>
            </a:ext>
          </a:extLst>
        </a:blip>
        <a:stretch>
          <a:fillRect/>
        </a:stretch>
      </xdr:blipFill>
      <xdr:spPr>
        <a:xfrm>
          <a:off x="16887067" y="50516"/>
          <a:ext cx="1323953" cy="249693"/>
        </a:xfrm>
        <a:prstGeom prst="rect">
          <a:avLst/>
        </a:prstGeom>
      </xdr:spPr>
    </xdr:pic>
    <xdr:clientData/>
  </xdr:twoCellAnchor>
  <xdr:oneCellAnchor>
    <xdr:from>
      <xdr:col>2</xdr:col>
      <xdr:colOff>213319</xdr:colOff>
      <xdr:row>4</xdr:row>
      <xdr:rowOff>58487</xdr:rowOff>
    </xdr:from>
    <xdr:ext cx="2752132" cy="449514"/>
    <xdr:sp macro="" textlink="">
      <xdr:nvSpPr>
        <xdr:cNvPr id="5" name="TextBox 4">
          <a:extLst>
            <a:ext uri="{FF2B5EF4-FFF2-40B4-BE49-F238E27FC236}">
              <a16:creationId xmlns:a16="http://schemas.microsoft.com/office/drawing/2014/main" id="{F2B1C47F-EE47-4894-A48B-1C8EE33697B1}"/>
            </a:ext>
          </a:extLst>
        </xdr:cNvPr>
        <xdr:cNvSpPr txBox="1">
          <a:spLocks/>
        </xdr:cNvSpPr>
      </xdr:nvSpPr>
      <xdr:spPr>
        <a:xfrm>
          <a:off x="3585169" y="801437"/>
          <a:ext cx="2752132" cy="449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marL="0" indent="0" algn="l"/>
          <a:endParaRPr lang="en-US" sz="1050" b="0" i="0" u="none" strike="noStrike">
            <a:solidFill>
              <a:srgbClr val="000000"/>
            </a:solidFill>
            <a:effectLst/>
            <a:ea typeface="+mn-ea"/>
            <a:cs typeface="Calibri"/>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C282C-5BC5-40C4-804D-8843FF4253D5}">
  <dimension ref="A1:I15"/>
  <sheetViews>
    <sheetView showGridLines="0" topLeftCell="A2" workbookViewId="0">
      <selection activeCell="D15" sqref="D15"/>
    </sheetView>
  </sheetViews>
  <sheetFormatPr defaultColWidth="8.81640625" defaultRowHeight="14.5" x14ac:dyDescent="0.35"/>
  <cols>
    <col min="1" max="1" width="19.453125" style="4" bestFit="1" customWidth="1"/>
    <col min="2" max="2" width="30.54296875" style="4" bestFit="1" customWidth="1"/>
    <col min="3" max="3" width="19.54296875" style="4" bestFit="1" customWidth="1"/>
    <col min="4" max="4" width="51.1796875" style="4" bestFit="1" customWidth="1"/>
    <col min="5" max="5" width="22.1796875" style="4" bestFit="1" customWidth="1"/>
    <col min="6" max="7" width="27.54296875" style="4" bestFit="1" customWidth="1"/>
    <col min="8" max="8" width="46.1796875" style="4" bestFit="1" customWidth="1"/>
    <col min="9" max="9" width="17.54296875" style="4" bestFit="1" customWidth="1"/>
    <col min="10" max="16384" width="8.81640625" style="4"/>
  </cols>
  <sheetData>
    <row r="1" spans="1:9" x14ac:dyDescent="0.35">
      <c r="A1" s="183" t="s">
        <v>0</v>
      </c>
      <c r="B1" s="184"/>
      <c r="C1" s="184"/>
      <c r="D1" s="184"/>
      <c r="E1" s="184"/>
      <c r="F1" s="184"/>
      <c r="G1" s="184"/>
      <c r="H1" s="184"/>
      <c r="I1" s="185"/>
    </row>
    <row r="2" spans="1:9" ht="15" thickBot="1" x14ac:dyDescent="0.4">
      <c r="A2" s="186"/>
      <c r="B2" s="187"/>
      <c r="C2" s="187"/>
      <c r="D2" s="187"/>
      <c r="E2" s="187"/>
      <c r="F2" s="187"/>
      <c r="G2" s="187"/>
      <c r="H2" s="187"/>
      <c r="I2" s="188"/>
    </row>
    <row r="3" spans="1:9" x14ac:dyDescent="0.35">
      <c r="A3" s="5"/>
      <c r="B3" s="1"/>
      <c r="C3" s="1"/>
      <c r="D3" s="1"/>
      <c r="E3" s="1"/>
      <c r="F3" s="6"/>
      <c r="G3" s="6"/>
      <c r="H3" s="6"/>
      <c r="I3" s="7"/>
    </row>
    <row r="4" spans="1:9" x14ac:dyDescent="0.35">
      <c r="A4" s="8"/>
      <c r="B4" s="2"/>
      <c r="C4" s="2"/>
      <c r="D4" s="2"/>
      <c r="E4" s="2"/>
      <c r="I4" s="9"/>
    </row>
    <row r="5" spans="1:9" x14ac:dyDescent="0.35">
      <c r="A5" s="8"/>
      <c r="B5" s="2"/>
      <c r="C5" s="10"/>
      <c r="D5" s="10"/>
      <c r="E5" s="10"/>
      <c r="I5" s="9"/>
    </row>
    <row r="6" spans="1:9" x14ac:dyDescent="0.35">
      <c r="A6" s="8"/>
      <c r="B6" s="2"/>
      <c r="C6" s="2"/>
      <c r="D6" s="2"/>
      <c r="E6" s="2"/>
      <c r="I6" s="9"/>
    </row>
    <row r="7" spans="1:9" ht="15" thickBot="1" x14ac:dyDescent="0.4">
      <c r="A7" s="11"/>
      <c r="B7" s="3"/>
      <c r="C7" s="3"/>
      <c r="D7" s="3"/>
      <c r="E7" s="3"/>
      <c r="F7" s="12"/>
      <c r="G7" s="12"/>
      <c r="H7" s="12"/>
      <c r="I7" s="13"/>
    </row>
    <row r="8" spans="1:9" x14ac:dyDescent="0.35">
      <c r="A8" s="177" t="s">
        <v>1</v>
      </c>
      <c r="B8" s="179" t="s">
        <v>2</v>
      </c>
      <c r="C8" s="181" t="s">
        <v>3</v>
      </c>
      <c r="D8" s="181"/>
      <c r="E8" s="181"/>
      <c r="F8" s="181"/>
      <c r="G8" s="181"/>
      <c r="H8" s="181"/>
      <c r="I8" s="182"/>
    </row>
    <row r="9" spans="1:9" ht="15" thickBot="1" x14ac:dyDescent="0.4">
      <c r="A9" s="178"/>
      <c r="B9" s="180"/>
      <c r="C9" s="181"/>
      <c r="D9" s="181"/>
      <c r="E9" s="181"/>
      <c r="F9" s="181"/>
      <c r="G9" s="181"/>
      <c r="H9" s="181"/>
      <c r="I9" s="182"/>
    </row>
    <row r="10" spans="1:9" x14ac:dyDescent="0.35">
      <c r="A10" s="14" t="s">
        <v>4</v>
      </c>
      <c r="B10" s="15" t="s">
        <v>5</v>
      </c>
      <c r="C10" s="16" t="s">
        <v>6</v>
      </c>
      <c r="D10" s="16" t="s">
        <v>7</v>
      </c>
      <c r="E10" s="16" t="s">
        <v>8</v>
      </c>
      <c r="F10" s="16" t="s">
        <v>9</v>
      </c>
      <c r="G10" s="16" t="s">
        <v>10</v>
      </c>
      <c r="H10" s="17" t="s">
        <v>11</v>
      </c>
      <c r="I10" s="18" t="s">
        <v>12</v>
      </c>
    </row>
    <row r="11" spans="1:9" x14ac:dyDescent="0.35">
      <c r="A11" s="19" t="s">
        <v>13</v>
      </c>
      <c r="B11" s="20" t="s">
        <v>14</v>
      </c>
      <c r="C11" s="21" t="s">
        <v>14</v>
      </c>
      <c r="D11" s="21" t="s">
        <v>14</v>
      </c>
      <c r="E11" s="21" t="s">
        <v>14</v>
      </c>
      <c r="F11" s="21" t="s">
        <v>14</v>
      </c>
      <c r="G11" s="22" t="s">
        <v>15</v>
      </c>
      <c r="H11" s="22" t="s">
        <v>15</v>
      </c>
      <c r="I11" s="23" t="s">
        <v>15</v>
      </c>
    </row>
    <row r="12" spans="1:9" x14ac:dyDescent="0.35">
      <c r="A12" s="24" t="s">
        <v>16</v>
      </c>
      <c r="B12" s="25" t="s">
        <v>1</v>
      </c>
      <c r="C12" s="26" t="s">
        <v>1</v>
      </c>
      <c r="D12" s="26" t="s">
        <v>1</v>
      </c>
      <c r="E12" s="26" t="s">
        <v>1</v>
      </c>
      <c r="F12" s="26" t="s">
        <v>1</v>
      </c>
      <c r="G12" s="26" t="s">
        <v>1</v>
      </c>
      <c r="H12" s="26" t="s">
        <v>1</v>
      </c>
      <c r="I12" s="27" t="s">
        <v>1</v>
      </c>
    </row>
    <row r="14" spans="1:9" ht="15" thickBot="1" x14ac:dyDescent="0.4"/>
    <row r="15" spans="1:9" ht="29.5" thickBot="1" x14ac:dyDescent="0.4">
      <c r="B15" s="28" t="s">
        <v>17</v>
      </c>
      <c r="C15" s="29" t="s">
        <v>18</v>
      </c>
      <c r="D15" s="30" t="s">
        <v>19</v>
      </c>
    </row>
  </sheetData>
  <mergeCells count="4">
    <mergeCell ref="A8:A9"/>
    <mergeCell ref="B8:B9"/>
    <mergeCell ref="C8:I9"/>
    <mergeCell ref="A1:I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A24DC-F50E-43D2-8719-5F98A1872EC9}">
  <sheetPr>
    <pageSetUpPr fitToPage="1"/>
  </sheetPr>
  <dimension ref="B1:I73"/>
  <sheetViews>
    <sheetView showGridLines="0" tabSelected="1" zoomScale="78" zoomScaleNormal="78" workbookViewId="0">
      <selection activeCell="F46" sqref="F46"/>
    </sheetView>
  </sheetViews>
  <sheetFormatPr defaultColWidth="8.81640625" defaultRowHeight="12" x14ac:dyDescent="0.3"/>
  <cols>
    <col min="1" max="1" width="8.81640625" style="34"/>
    <col min="2" max="2" width="35.08984375" style="34" bestFit="1" customWidth="1"/>
    <col min="3" max="3" width="7.1796875" style="34" hidden="1" customWidth="1"/>
    <col min="4" max="4" width="42.1796875" style="34" customWidth="1"/>
    <col min="5" max="6" width="15.54296875" style="35" customWidth="1"/>
    <col min="7" max="7" width="42.453125" style="34" bestFit="1" customWidth="1"/>
    <col min="8" max="8" width="8.81640625" style="34"/>
    <col min="9" max="9" width="47.1796875" style="34" customWidth="1"/>
    <col min="10" max="16384" width="8.81640625" style="34"/>
  </cols>
  <sheetData>
    <row r="1" spans="2:7" ht="8.75" customHeight="1" thickBot="1" x14ac:dyDescent="0.35"/>
    <row r="2" spans="2:7" ht="21" customHeight="1" thickBot="1" x14ac:dyDescent="0.35">
      <c r="B2" s="160" t="s">
        <v>103</v>
      </c>
      <c r="C2" s="161"/>
      <c r="D2" s="161"/>
      <c r="E2" s="161"/>
      <c r="F2" s="161"/>
      <c r="G2" s="162"/>
    </row>
    <row r="3" spans="2:7" x14ac:dyDescent="0.3">
      <c r="B3" s="36"/>
      <c r="C3" s="37"/>
      <c r="D3" s="37"/>
      <c r="E3" s="163">
        <f ca="1">TODAY()</f>
        <v>46245</v>
      </c>
      <c r="F3" s="163"/>
      <c r="G3" s="164"/>
    </row>
    <row r="4" spans="2:7" x14ac:dyDescent="0.3">
      <c r="B4" s="38" t="s">
        <v>20</v>
      </c>
      <c r="D4" s="39" t="s">
        <v>21</v>
      </c>
      <c r="E4" s="40"/>
      <c r="F4" s="40"/>
      <c r="G4" s="41"/>
    </row>
    <row r="5" spans="2:7" x14ac:dyDescent="0.3">
      <c r="B5" s="42" t="s">
        <v>48</v>
      </c>
      <c r="D5" s="39" t="s">
        <v>23</v>
      </c>
      <c r="G5" s="43" t="s">
        <v>118</v>
      </c>
    </row>
    <row r="6" spans="2:7" x14ac:dyDescent="0.3">
      <c r="B6" s="42" t="s">
        <v>49</v>
      </c>
      <c r="D6" s="39" t="s">
        <v>52</v>
      </c>
      <c r="G6" s="43" t="s">
        <v>24</v>
      </c>
    </row>
    <row r="7" spans="2:7" x14ac:dyDescent="0.3">
      <c r="B7" s="44" t="s">
        <v>46</v>
      </c>
      <c r="G7" s="43" t="s">
        <v>25</v>
      </c>
    </row>
    <row r="8" spans="2:7" ht="13.5" x14ac:dyDescent="0.35">
      <c r="B8" s="44" t="s">
        <v>47</v>
      </c>
      <c r="D8" s="45" t="s">
        <v>86</v>
      </c>
      <c r="G8" s="41"/>
    </row>
    <row r="9" spans="2:7" ht="12.5" thickBot="1" x14ac:dyDescent="0.35">
      <c r="B9" s="46" t="s">
        <v>50</v>
      </c>
      <c r="C9" s="47"/>
      <c r="D9" s="47"/>
      <c r="E9" s="48"/>
      <c r="F9" s="48"/>
      <c r="G9" s="49"/>
    </row>
    <row r="10" spans="2:7" ht="12.5" thickBot="1" x14ac:dyDescent="0.35">
      <c r="B10" s="155" t="s">
        <v>4</v>
      </c>
      <c r="C10" s="156"/>
      <c r="D10" s="156"/>
      <c r="E10" s="50" t="s">
        <v>26</v>
      </c>
      <c r="F10" s="50"/>
      <c r="G10" s="51" t="s">
        <v>71</v>
      </c>
    </row>
    <row r="11" spans="2:7" ht="14.75" customHeight="1" thickBot="1" x14ac:dyDescent="0.35">
      <c r="B11" s="157" t="s">
        <v>53</v>
      </c>
      <c r="C11" s="158"/>
      <c r="D11" s="158"/>
      <c r="E11" s="158"/>
      <c r="F11" s="158"/>
      <c r="G11" s="159"/>
    </row>
    <row r="12" spans="2:7" ht="14.75" customHeight="1" x14ac:dyDescent="0.3">
      <c r="B12" s="168" t="s">
        <v>53</v>
      </c>
      <c r="C12" s="169"/>
      <c r="D12" s="52" t="s">
        <v>27</v>
      </c>
      <c r="E12" s="115">
        <v>6120000</v>
      </c>
      <c r="F12" s="115"/>
      <c r="G12" s="53"/>
    </row>
    <row r="13" spans="2:7" ht="14.75" customHeight="1" x14ac:dyDescent="0.3">
      <c r="B13" s="170"/>
      <c r="C13" s="171"/>
      <c r="D13" s="54" t="s">
        <v>57</v>
      </c>
      <c r="E13" s="116">
        <v>100000</v>
      </c>
      <c r="F13" s="116"/>
      <c r="G13" s="55" t="s">
        <v>81</v>
      </c>
    </row>
    <row r="14" spans="2:7" ht="14.75" customHeight="1" x14ac:dyDescent="0.3">
      <c r="B14" s="170"/>
      <c r="C14" s="171"/>
      <c r="D14" s="54" t="s">
        <v>28</v>
      </c>
      <c r="E14" s="116">
        <v>100000</v>
      </c>
      <c r="F14" s="116"/>
      <c r="G14" s="55" t="s">
        <v>72</v>
      </c>
    </row>
    <row r="15" spans="2:7" ht="15" customHeight="1" x14ac:dyDescent="0.3">
      <c r="B15" s="170"/>
      <c r="C15" s="171"/>
      <c r="D15" s="54" t="s">
        <v>55</v>
      </c>
      <c r="E15" s="116">
        <v>0</v>
      </c>
      <c r="F15" s="116"/>
      <c r="G15" s="55" t="s">
        <v>80</v>
      </c>
    </row>
    <row r="16" spans="2:7" ht="15" customHeight="1" x14ac:dyDescent="0.3">
      <c r="B16" s="170"/>
      <c r="C16" s="171"/>
      <c r="D16" s="54" t="s">
        <v>56</v>
      </c>
      <c r="E16" s="116"/>
      <c r="F16" s="116"/>
      <c r="G16" s="55"/>
    </row>
    <row r="17" spans="2:9" ht="14.75" customHeight="1" x14ac:dyDescent="0.3">
      <c r="B17" s="170"/>
      <c r="C17" s="171"/>
      <c r="D17" s="56" t="s">
        <v>29</v>
      </c>
      <c r="E17" s="33">
        <f>E12-E13-E14-E15-E16</f>
        <v>5920000</v>
      </c>
      <c r="F17" s="33"/>
      <c r="G17" s="55"/>
    </row>
    <row r="18" spans="2:9" ht="14.75" customHeight="1" x14ac:dyDescent="0.3">
      <c r="B18" s="170"/>
      <c r="C18" s="171"/>
      <c r="D18" s="54" t="s">
        <v>30</v>
      </c>
      <c r="E18" s="33">
        <f>E17*0.01</f>
        <v>59200</v>
      </c>
      <c r="F18" s="33"/>
      <c r="G18" s="55" t="s">
        <v>85</v>
      </c>
    </row>
    <row r="19" spans="2:9" ht="14.75" customHeight="1" thickBot="1" x14ac:dyDescent="0.35">
      <c r="B19" s="172"/>
      <c r="C19" s="173"/>
      <c r="D19" s="117" t="s">
        <v>58</v>
      </c>
      <c r="E19" s="118">
        <f>E17+E18</f>
        <v>5979200</v>
      </c>
      <c r="F19" s="118"/>
      <c r="G19" s="57"/>
    </row>
    <row r="20" spans="2:9" ht="14.75" customHeight="1" thickBot="1" x14ac:dyDescent="0.35">
      <c r="B20" s="157" t="s">
        <v>54</v>
      </c>
      <c r="C20" s="158"/>
      <c r="D20" s="158"/>
      <c r="E20" s="158"/>
      <c r="F20" s="158"/>
      <c r="G20" s="159"/>
    </row>
    <row r="21" spans="2:9" ht="14.75" customHeight="1" x14ac:dyDescent="0.3">
      <c r="B21" s="150" t="s">
        <v>97</v>
      </c>
      <c r="C21" s="58"/>
      <c r="D21" s="59" t="s">
        <v>74</v>
      </c>
      <c r="E21" s="119">
        <v>136714</v>
      </c>
      <c r="F21" s="120"/>
      <c r="G21" s="60" t="s">
        <v>95</v>
      </c>
    </row>
    <row r="22" spans="2:9" ht="14.75" customHeight="1" x14ac:dyDescent="0.3">
      <c r="B22" s="151"/>
      <c r="C22" s="58"/>
      <c r="D22" s="61" t="s">
        <v>31</v>
      </c>
      <c r="E22" s="121">
        <v>1222776</v>
      </c>
      <c r="F22" s="122"/>
      <c r="G22" s="62"/>
    </row>
    <row r="23" spans="2:9" ht="14.75" customHeight="1" x14ac:dyDescent="0.3">
      <c r="B23" s="151"/>
      <c r="C23" s="58"/>
      <c r="D23" s="61" t="s">
        <v>32</v>
      </c>
      <c r="E23" s="121">
        <v>12837</v>
      </c>
      <c r="F23" s="122"/>
      <c r="G23" s="62"/>
      <c r="I23" s="63"/>
    </row>
    <row r="24" spans="2:9" ht="14.75" customHeight="1" x14ac:dyDescent="0.3">
      <c r="B24" s="151"/>
      <c r="C24" s="58"/>
      <c r="D24" s="61" t="s">
        <v>87</v>
      </c>
      <c r="E24" s="123">
        <v>0</v>
      </c>
      <c r="F24" s="124"/>
      <c r="G24" s="62" t="s">
        <v>96</v>
      </c>
      <c r="I24" s="63"/>
    </row>
    <row r="25" spans="2:9" ht="14.75" customHeight="1" x14ac:dyDescent="0.3">
      <c r="B25" s="151"/>
      <c r="C25" s="58"/>
      <c r="D25" s="61" t="s">
        <v>88</v>
      </c>
      <c r="E25" s="121"/>
      <c r="F25" s="122"/>
      <c r="G25" s="62" t="s">
        <v>82</v>
      </c>
    </row>
    <row r="26" spans="2:9" ht="14.75" customHeight="1" thickBot="1" x14ac:dyDescent="0.35">
      <c r="B26" s="152"/>
      <c r="C26" s="58"/>
      <c r="D26" s="117" t="s">
        <v>59</v>
      </c>
      <c r="E26" s="118">
        <f>E21+E22+E23-E25</f>
        <v>1372327</v>
      </c>
      <c r="F26" s="125"/>
      <c r="G26" s="64"/>
    </row>
    <row r="27" spans="2:9" ht="14.75" customHeight="1" x14ac:dyDescent="0.3">
      <c r="B27" s="44"/>
      <c r="G27" s="41"/>
    </row>
    <row r="28" spans="2:9" ht="12.5" thickBot="1" x14ac:dyDescent="0.35">
      <c r="B28" s="157" t="s">
        <v>60</v>
      </c>
      <c r="C28" s="158"/>
      <c r="D28" s="158"/>
      <c r="E28" s="158"/>
      <c r="F28" s="158"/>
      <c r="G28" s="159"/>
    </row>
    <row r="29" spans="2:9" x14ac:dyDescent="0.3">
      <c r="B29" s="150" t="s">
        <v>66</v>
      </c>
      <c r="C29" s="65"/>
      <c r="D29" s="66" t="s">
        <v>73</v>
      </c>
      <c r="E29" s="67">
        <v>0</v>
      </c>
      <c r="F29" s="67"/>
      <c r="G29" s="53"/>
    </row>
    <row r="30" spans="2:9" x14ac:dyDescent="0.3">
      <c r="B30" s="151"/>
      <c r="C30" s="58"/>
      <c r="D30" s="68" t="s">
        <v>61</v>
      </c>
      <c r="E30" s="69">
        <v>0</v>
      </c>
      <c r="F30" s="69"/>
      <c r="G30" s="55"/>
    </row>
    <row r="31" spans="2:9" x14ac:dyDescent="0.3">
      <c r="B31" s="151"/>
      <c r="C31" s="58"/>
      <c r="D31" s="68" t="s">
        <v>92</v>
      </c>
      <c r="E31" s="69">
        <v>0</v>
      </c>
      <c r="F31" s="69"/>
      <c r="G31" s="55"/>
    </row>
    <row r="32" spans="2:9" ht="14.75" customHeight="1" x14ac:dyDescent="0.3">
      <c r="B32" s="151"/>
      <c r="C32" s="58"/>
      <c r="D32" s="70" t="s">
        <v>62</v>
      </c>
      <c r="E32" s="103">
        <f>SUM(E29:E31)</f>
        <v>0</v>
      </c>
      <c r="F32" s="103"/>
      <c r="G32" s="55"/>
    </row>
    <row r="33" spans="2:7" ht="12.5" thickBot="1" x14ac:dyDescent="0.35">
      <c r="B33" s="152"/>
      <c r="C33" s="71"/>
      <c r="D33" s="126" t="s">
        <v>63</v>
      </c>
      <c r="E33" s="118">
        <f>E19+E26+E32</f>
        <v>7351527</v>
      </c>
      <c r="F33" s="118"/>
      <c r="G33" s="117"/>
    </row>
    <row r="35" spans="2:7" ht="12.5" thickBot="1" x14ac:dyDescent="0.35">
      <c r="B35" s="174" t="s">
        <v>64</v>
      </c>
      <c r="C35" s="175"/>
      <c r="D35" s="175"/>
      <c r="E35" s="175"/>
      <c r="F35" s="175"/>
      <c r="G35" s="176"/>
    </row>
    <row r="36" spans="2:7" x14ac:dyDescent="0.3">
      <c r="B36" s="165" t="s">
        <v>77</v>
      </c>
      <c r="C36" s="72"/>
      <c r="D36" s="53" t="s">
        <v>75</v>
      </c>
      <c r="E36" s="73" t="s">
        <v>99</v>
      </c>
      <c r="F36" s="73" t="s">
        <v>98</v>
      </c>
      <c r="G36" s="53"/>
    </row>
    <row r="37" spans="2:7" x14ac:dyDescent="0.3">
      <c r="B37" s="166"/>
      <c r="C37" s="72"/>
      <c r="D37" s="78" t="s">
        <v>117</v>
      </c>
      <c r="E37" s="114">
        <f>0.1*E17</f>
        <v>592000</v>
      </c>
      <c r="F37" s="114">
        <f>E37</f>
        <v>592000</v>
      </c>
      <c r="G37" s="78"/>
    </row>
    <row r="38" spans="2:7" x14ac:dyDescent="0.3">
      <c r="B38" s="166"/>
      <c r="C38" s="58"/>
      <c r="D38" s="74" t="s">
        <v>116</v>
      </c>
      <c r="E38" s="127">
        <f>E17*0.9</f>
        <v>5328000</v>
      </c>
      <c r="F38" s="127">
        <f>E38</f>
        <v>5328000</v>
      </c>
      <c r="G38" s="55"/>
    </row>
    <row r="39" spans="2:7" x14ac:dyDescent="0.3">
      <c r="B39" s="166"/>
      <c r="C39" s="58"/>
      <c r="D39" s="61" t="s">
        <v>45</v>
      </c>
      <c r="E39" s="128">
        <v>48</v>
      </c>
      <c r="F39" s="128">
        <v>48</v>
      </c>
      <c r="G39" s="55"/>
    </row>
    <row r="40" spans="2:7" x14ac:dyDescent="0.3">
      <c r="B40" s="166"/>
      <c r="C40" s="58"/>
      <c r="D40" s="61" t="s">
        <v>119</v>
      </c>
      <c r="E40" s="129">
        <v>70950</v>
      </c>
      <c r="F40" s="129">
        <v>127518</v>
      </c>
      <c r="G40" s="55"/>
    </row>
    <row r="41" spans="2:7" x14ac:dyDescent="0.3">
      <c r="B41" s="166"/>
      <c r="C41" s="58"/>
      <c r="D41" s="61" t="s">
        <v>101</v>
      </c>
      <c r="E41" s="130">
        <v>9.5000000000000001E-2</v>
      </c>
      <c r="F41" s="130">
        <v>6.9900000000000004E-2</v>
      </c>
      <c r="G41" s="55"/>
    </row>
    <row r="42" spans="2:7" x14ac:dyDescent="0.3">
      <c r="B42" s="166"/>
      <c r="C42" s="58"/>
      <c r="D42" s="74" t="s">
        <v>67</v>
      </c>
      <c r="E42" s="131">
        <v>3383100</v>
      </c>
      <c r="F42" s="108" t="s">
        <v>106</v>
      </c>
      <c r="G42" s="55"/>
    </row>
    <row r="43" spans="2:7" x14ac:dyDescent="0.3">
      <c r="B43" s="166"/>
      <c r="C43" s="58"/>
      <c r="D43" s="61" t="s">
        <v>33</v>
      </c>
      <c r="E43" s="129">
        <v>18450</v>
      </c>
      <c r="F43" s="129">
        <v>18450</v>
      </c>
      <c r="G43" s="55"/>
    </row>
    <row r="44" spans="2:7" x14ac:dyDescent="0.3">
      <c r="B44" s="166"/>
      <c r="C44" s="58"/>
      <c r="D44" s="61" t="s">
        <v>34</v>
      </c>
      <c r="E44" s="109">
        <f>E40</f>
        <v>70950</v>
      </c>
      <c r="F44" s="109">
        <v>0</v>
      </c>
      <c r="G44" s="55"/>
    </row>
    <row r="45" spans="2:7" ht="12.5" thickBot="1" x14ac:dyDescent="0.35">
      <c r="B45" s="167"/>
      <c r="C45" s="58"/>
      <c r="D45" s="75" t="s">
        <v>76</v>
      </c>
      <c r="E45" s="110">
        <f>E38-(E43+E44)</f>
        <v>5238600</v>
      </c>
      <c r="F45" s="110">
        <f>F38-(F43+F44)</f>
        <v>5309550</v>
      </c>
      <c r="G45" s="57"/>
    </row>
    <row r="46" spans="2:7" x14ac:dyDescent="0.3">
      <c r="B46" s="153" t="s">
        <v>65</v>
      </c>
      <c r="C46" s="76"/>
      <c r="D46" s="77" t="s">
        <v>102</v>
      </c>
      <c r="E46" s="132">
        <v>400000</v>
      </c>
      <c r="F46" s="111"/>
      <c r="G46" s="78"/>
    </row>
    <row r="47" spans="2:7" x14ac:dyDescent="0.3">
      <c r="B47" s="153"/>
      <c r="C47" s="76"/>
      <c r="D47" s="79" t="s">
        <v>94</v>
      </c>
      <c r="E47" s="133">
        <v>0</v>
      </c>
      <c r="F47" s="112"/>
      <c r="G47" s="55"/>
    </row>
    <row r="48" spans="2:7" x14ac:dyDescent="0.3">
      <c r="B48" s="153"/>
      <c r="C48" s="76"/>
      <c r="D48" s="80" t="s">
        <v>68</v>
      </c>
      <c r="E48" s="113">
        <f>E46+E47</f>
        <v>400000</v>
      </c>
      <c r="F48" s="113"/>
      <c r="G48" s="55"/>
    </row>
    <row r="49" spans="2:7" ht="12.5" thickBot="1" x14ac:dyDescent="0.35">
      <c r="B49" s="154"/>
      <c r="C49" s="81"/>
      <c r="D49" s="126" t="s">
        <v>91</v>
      </c>
      <c r="E49" s="118">
        <f>E33-E48</f>
        <v>6951527</v>
      </c>
      <c r="F49" s="118"/>
      <c r="G49" s="117"/>
    </row>
    <row r="50" spans="2:7" x14ac:dyDescent="0.3">
      <c r="B50" s="82"/>
      <c r="C50" s="76"/>
      <c r="D50" s="83"/>
      <c r="E50" s="84"/>
      <c r="F50" s="84"/>
      <c r="G50" s="41"/>
    </row>
    <row r="51" spans="2:7" ht="12.5" thickBot="1" x14ac:dyDescent="0.35">
      <c r="B51" s="85"/>
      <c r="C51" s="86"/>
      <c r="G51" s="41"/>
    </row>
    <row r="52" spans="2:7" ht="12.5" thickBot="1" x14ac:dyDescent="0.35">
      <c r="B52" s="87" t="s">
        <v>69</v>
      </c>
      <c r="C52" s="88"/>
      <c r="D52" s="89" t="s">
        <v>105</v>
      </c>
      <c r="E52" s="89" t="s">
        <v>93</v>
      </c>
      <c r="F52" s="89"/>
      <c r="G52" s="89" t="s">
        <v>70</v>
      </c>
    </row>
    <row r="53" spans="2:7" x14ac:dyDescent="0.3">
      <c r="B53" s="59" t="s">
        <v>89</v>
      </c>
      <c r="C53" s="86"/>
      <c r="D53" s="90">
        <v>150000</v>
      </c>
      <c r="E53" s="91"/>
      <c r="F53" s="91"/>
      <c r="G53" s="92" t="s">
        <v>83</v>
      </c>
    </row>
    <row r="54" spans="2:7" ht="36" x14ac:dyDescent="0.3">
      <c r="B54" s="61" t="s">
        <v>107</v>
      </c>
      <c r="C54" s="86"/>
      <c r="D54" s="104">
        <f>E19-D53-E45</f>
        <v>590600</v>
      </c>
      <c r="E54" s="106"/>
      <c r="F54" s="106"/>
      <c r="G54" s="94" t="s">
        <v>84</v>
      </c>
    </row>
    <row r="55" spans="2:7" ht="36" x14ac:dyDescent="0.3">
      <c r="B55" s="61" t="s">
        <v>108</v>
      </c>
      <c r="C55" s="86"/>
      <c r="D55" s="104">
        <f>E19-D53-F45</f>
        <v>519650</v>
      </c>
      <c r="E55" s="93"/>
      <c r="F55" s="93"/>
      <c r="G55" s="94" t="s">
        <v>84</v>
      </c>
    </row>
    <row r="56" spans="2:7" x14ac:dyDescent="0.3">
      <c r="B56" s="55" t="s">
        <v>78</v>
      </c>
      <c r="C56" s="86"/>
      <c r="D56" s="104"/>
      <c r="E56" s="104">
        <f>E26+E32-E48</f>
        <v>972327</v>
      </c>
      <c r="F56" s="104"/>
      <c r="G56" s="94" t="s">
        <v>83</v>
      </c>
    </row>
    <row r="57" spans="2:7" ht="12.5" thickBot="1" x14ac:dyDescent="0.35">
      <c r="B57" s="57" t="s">
        <v>114</v>
      </c>
      <c r="C57" s="86"/>
      <c r="D57" s="145">
        <f>E45</f>
        <v>5238600</v>
      </c>
      <c r="E57" s="145"/>
      <c r="F57" s="145"/>
      <c r="G57" s="146"/>
    </row>
    <row r="58" spans="2:7" ht="12.5" thickBot="1" x14ac:dyDescent="0.35">
      <c r="B58" s="57" t="s">
        <v>115</v>
      </c>
      <c r="C58" s="95"/>
      <c r="D58" s="105">
        <f>F45</f>
        <v>5309550</v>
      </c>
      <c r="E58" s="96"/>
      <c r="F58" s="96"/>
      <c r="G58" s="57"/>
    </row>
    <row r="59" spans="2:7" x14ac:dyDescent="0.3">
      <c r="C59" s="86"/>
      <c r="D59" s="97"/>
    </row>
    <row r="60" spans="2:7" ht="12.5" thickBot="1" x14ac:dyDescent="0.35">
      <c r="B60" s="98"/>
      <c r="C60" s="86"/>
    </row>
    <row r="61" spans="2:7" x14ac:dyDescent="0.3">
      <c r="B61" s="98"/>
      <c r="C61" s="86"/>
      <c r="G61" s="147"/>
    </row>
    <row r="62" spans="2:7" x14ac:dyDescent="0.3">
      <c r="B62" s="98"/>
      <c r="C62" s="86"/>
      <c r="E62" s="144"/>
      <c r="G62" s="148"/>
    </row>
    <row r="63" spans="2:7" ht="12.5" thickBot="1" x14ac:dyDescent="0.35">
      <c r="B63" s="98"/>
      <c r="C63" s="86"/>
      <c r="E63" s="144"/>
      <c r="G63" s="149"/>
    </row>
    <row r="64" spans="2:7" x14ac:dyDescent="0.3">
      <c r="B64" s="98"/>
      <c r="C64" s="86"/>
      <c r="G64" s="97" t="s">
        <v>90</v>
      </c>
    </row>
    <row r="68" spans="2:6" s="101" customFormat="1" ht="296" x14ac:dyDescent="0.2">
      <c r="B68" s="99" t="s">
        <v>39</v>
      </c>
      <c r="C68" s="100" t="s">
        <v>35</v>
      </c>
      <c r="D68" s="99" t="s">
        <v>51</v>
      </c>
      <c r="E68" s="99"/>
      <c r="F68" s="99"/>
    </row>
    <row r="69" spans="2:6" s="101" customFormat="1" ht="17.75" customHeight="1" x14ac:dyDescent="0.2">
      <c r="C69" s="100" t="s">
        <v>36</v>
      </c>
      <c r="E69" s="99"/>
      <c r="F69" s="99"/>
    </row>
    <row r="70" spans="2:6" s="101" customFormat="1" ht="20.75" customHeight="1" x14ac:dyDescent="0.2">
      <c r="C70" s="100" t="s">
        <v>37</v>
      </c>
    </row>
    <row r="71" spans="2:6" s="101" customFormat="1" ht="8" x14ac:dyDescent="0.2">
      <c r="E71" s="102"/>
      <c r="F71" s="102"/>
    </row>
    <row r="72" spans="2:6" s="101" customFormat="1" ht="8" x14ac:dyDescent="0.2">
      <c r="C72" s="100" t="s">
        <v>38</v>
      </c>
      <c r="E72" s="102"/>
      <c r="F72" s="102"/>
    </row>
    <row r="73" spans="2:6" s="101" customFormat="1" ht="8" x14ac:dyDescent="0.2">
      <c r="D73" s="99"/>
      <c r="E73" s="102"/>
      <c r="F73" s="102"/>
    </row>
  </sheetData>
  <sheetProtection algorithmName="SHA-512" hashValue="s1Z/VUOJi8c0surN33F9jflYBmCspaoD0Hz/ZMqaK8yClLzT/qJ/QSu5YCdpew/VOTrbVgthapLMq778RHI30Q==" saltValue="zB+RGD3qre/BHz88kDS8Vw==" spinCount="100000" sheet="1" selectLockedCells="1"/>
  <mergeCells count="13">
    <mergeCell ref="B2:G2"/>
    <mergeCell ref="E3:G3"/>
    <mergeCell ref="B36:B45"/>
    <mergeCell ref="B12:C19"/>
    <mergeCell ref="B11:G11"/>
    <mergeCell ref="B20:G20"/>
    <mergeCell ref="B35:G35"/>
    <mergeCell ref="G61:G63"/>
    <mergeCell ref="B29:B33"/>
    <mergeCell ref="B46:B49"/>
    <mergeCell ref="B10:D10"/>
    <mergeCell ref="B21:B26"/>
    <mergeCell ref="B28:G28"/>
  </mergeCells>
  <dataValidations count="2">
    <dataValidation type="list" allowBlank="1" showInputMessage="1" showErrorMessage="1" prompt="Select Booking Amount" sqref="D53" xr:uid="{8FCD57EA-5562-4D69-A4C6-A43D8CBA8654}">
      <formula1>"150000, 500000,1000000"</formula1>
    </dataValidation>
    <dataValidation type="list" allowBlank="1" showInputMessage="1" showErrorMessage="1" prompt="Select Tenure" sqref="E39:F39" xr:uid="{900AB4EB-A2A4-43A2-AC2E-153418BADC3D}">
      <formula1>"12, 24, 36, 48, 60, 72, 84"</formula1>
    </dataValidation>
  </dataValidations>
  <pageMargins left="0.7" right="0.7" top="0.75" bottom="0.75" header="0.3" footer="0.3"/>
  <pageSetup scale="65" fitToHeight="0" orientation="portrait" r:id="rId1"/>
  <ignoredErrors>
    <ignoredError sqref="F37:F38 E37:E38"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461F1-9375-4BB0-AD9F-8D64C10B6550}">
  <sheetPr>
    <pageSetUpPr fitToPage="1"/>
  </sheetPr>
  <dimension ref="B1:I74"/>
  <sheetViews>
    <sheetView showGridLines="0" topLeftCell="A29" workbookViewId="0">
      <selection activeCell="E41" sqref="E41"/>
    </sheetView>
  </sheetViews>
  <sheetFormatPr defaultColWidth="8.81640625" defaultRowHeight="12" x14ac:dyDescent="0.3"/>
  <cols>
    <col min="1" max="1" width="8.81640625" style="34"/>
    <col min="2" max="2" width="35.08984375" style="34" bestFit="1" customWidth="1"/>
    <col min="3" max="3" width="7.1796875" style="34" hidden="1" customWidth="1"/>
    <col min="4" max="4" width="42.1796875" style="34" customWidth="1"/>
    <col min="5" max="6" width="15.54296875" style="35" customWidth="1"/>
    <col min="7" max="7" width="42.453125" style="34" bestFit="1" customWidth="1"/>
    <col min="8" max="8" width="8.81640625" style="34"/>
    <col min="9" max="9" width="47.1796875" style="34" customWidth="1"/>
    <col min="10" max="16384" width="8.81640625" style="34"/>
  </cols>
  <sheetData>
    <row r="1" spans="2:7" ht="8.75" customHeight="1" thickBot="1" x14ac:dyDescent="0.35"/>
    <row r="2" spans="2:7" ht="21" customHeight="1" thickBot="1" x14ac:dyDescent="0.35">
      <c r="B2" s="160" t="s">
        <v>103</v>
      </c>
      <c r="C2" s="161"/>
      <c r="D2" s="161"/>
      <c r="E2" s="161"/>
      <c r="F2" s="161"/>
      <c r="G2" s="162"/>
    </row>
    <row r="3" spans="2:7" x14ac:dyDescent="0.3">
      <c r="B3" s="36"/>
      <c r="C3" s="37"/>
      <c r="D3" s="37"/>
      <c r="E3" s="163">
        <f ca="1">TODAY()</f>
        <v>46245</v>
      </c>
      <c r="F3" s="163"/>
      <c r="G3" s="164"/>
    </row>
    <row r="4" spans="2:7" x14ac:dyDescent="0.3">
      <c r="B4" s="134" t="s">
        <v>20</v>
      </c>
      <c r="D4" s="39" t="s">
        <v>21</v>
      </c>
      <c r="E4" s="137"/>
      <c r="F4" s="40"/>
      <c r="G4" s="41"/>
    </row>
    <row r="5" spans="2:7" x14ac:dyDescent="0.3">
      <c r="B5" s="134" t="s">
        <v>110</v>
      </c>
      <c r="D5" s="39" t="s">
        <v>23</v>
      </c>
      <c r="E5" s="138"/>
      <c r="G5" s="43" t="s">
        <v>118</v>
      </c>
    </row>
    <row r="6" spans="2:7" x14ac:dyDescent="0.3">
      <c r="B6" s="134" t="s">
        <v>111</v>
      </c>
      <c r="D6" s="39" t="s">
        <v>52</v>
      </c>
      <c r="E6" s="138"/>
      <c r="G6" s="43" t="s">
        <v>24</v>
      </c>
    </row>
    <row r="7" spans="2:7" x14ac:dyDescent="0.3">
      <c r="B7" s="135"/>
      <c r="G7" s="43" t="s">
        <v>25</v>
      </c>
    </row>
    <row r="8" spans="2:7" ht="13.5" x14ac:dyDescent="0.35">
      <c r="B8" s="135"/>
      <c r="D8" s="45" t="s">
        <v>86</v>
      </c>
      <c r="G8" s="41"/>
    </row>
    <row r="9" spans="2:7" ht="12.5" thickBot="1" x14ac:dyDescent="0.35">
      <c r="B9" s="136"/>
      <c r="C9" s="47"/>
      <c r="D9" s="47"/>
      <c r="E9" s="48"/>
      <c r="F9" s="48"/>
      <c r="G9" s="49"/>
    </row>
    <row r="10" spans="2:7" ht="12.5" thickBot="1" x14ac:dyDescent="0.35">
      <c r="B10" s="155" t="s">
        <v>4</v>
      </c>
      <c r="C10" s="156"/>
      <c r="D10" s="156"/>
      <c r="E10" s="50" t="s">
        <v>26</v>
      </c>
      <c r="F10" s="50"/>
      <c r="G10" s="51" t="s">
        <v>71</v>
      </c>
    </row>
    <row r="11" spans="2:7" ht="14.75" customHeight="1" thickBot="1" x14ac:dyDescent="0.35">
      <c r="B11" s="157" t="s">
        <v>53</v>
      </c>
      <c r="C11" s="158"/>
      <c r="D11" s="158"/>
      <c r="E11" s="158"/>
      <c r="F11" s="158"/>
      <c r="G11" s="159"/>
    </row>
    <row r="12" spans="2:7" ht="14.75" customHeight="1" x14ac:dyDescent="0.3">
      <c r="B12" s="168" t="s">
        <v>53</v>
      </c>
      <c r="C12" s="169"/>
      <c r="D12" s="52" t="s">
        <v>27</v>
      </c>
      <c r="E12" s="115">
        <v>6120000</v>
      </c>
      <c r="F12" s="115"/>
      <c r="G12" s="53"/>
    </row>
    <row r="13" spans="2:7" ht="14.75" customHeight="1" x14ac:dyDescent="0.3">
      <c r="B13" s="170"/>
      <c r="C13" s="171"/>
      <c r="D13" s="54" t="s">
        <v>57</v>
      </c>
      <c r="E13" s="116">
        <v>100000</v>
      </c>
      <c r="F13" s="116"/>
      <c r="G13" s="55" t="s">
        <v>81</v>
      </c>
    </row>
    <row r="14" spans="2:7" ht="14.75" customHeight="1" x14ac:dyDescent="0.3">
      <c r="B14" s="170"/>
      <c r="C14" s="171"/>
      <c r="D14" s="54" t="s">
        <v>28</v>
      </c>
      <c r="E14" s="116">
        <v>100000</v>
      </c>
      <c r="F14" s="116"/>
      <c r="G14" s="55" t="s">
        <v>72</v>
      </c>
    </row>
    <row r="15" spans="2:7" ht="15" customHeight="1" x14ac:dyDescent="0.3">
      <c r="B15" s="170"/>
      <c r="C15" s="171"/>
      <c r="D15" s="54" t="s">
        <v>55</v>
      </c>
      <c r="E15" s="116">
        <v>0</v>
      </c>
      <c r="F15" s="116"/>
      <c r="G15" s="55" t="s">
        <v>80</v>
      </c>
    </row>
    <row r="16" spans="2:7" ht="15" customHeight="1" x14ac:dyDescent="0.3">
      <c r="B16" s="170"/>
      <c r="C16" s="171"/>
      <c r="D16" s="54" t="s">
        <v>56</v>
      </c>
      <c r="E16" s="116">
        <v>0</v>
      </c>
      <c r="F16" s="116"/>
      <c r="G16" s="55"/>
    </row>
    <row r="17" spans="2:9" ht="14.75" customHeight="1" x14ac:dyDescent="0.3">
      <c r="B17" s="170"/>
      <c r="C17" s="171"/>
      <c r="D17" s="56" t="s">
        <v>29</v>
      </c>
      <c r="E17" s="33">
        <f>E12-E13-E14-E15-E16</f>
        <v>5920000</v>
      </c>
      <c r="F17" s="33"/>
      <c r="G17" s="55"/>
    </row>
    <row r="18" spans="2:9" ht="14.75" customHeight="1" x14ac:dyDescent="0.3">
      <c r="B18" s="170"/>
      <c r="C18" s="171"/>
      <c r="D18" s="54" t="s">
        <v>109</v>
      </c>
      <c r="E18" s="139"/>
      <c r="F18" s="33"/>
      <c r="G18" s="55"/>
    </row>
    <row r="19" spans="2:9" ht="14.75" customHeight="1" x14ac:dyDescent="0.3">
      <c r="B19" s="170"/>
      <c r="C19" s="171"/>
      <c r="D19" s="32" t="s">
        <v>44</v>
      </c>
      <c r="E19" s="139"/>
      <c r="F19" s="33"/>
      <c r="G19" s="55"/>
    </row>
    <row r="20" spans="2:9" ht="14.75" customHeight="1" x14ac:dyDescent="0.3">
      <c r="B20" s="170"/>
      <c r="C20" s="171"/>
      <c r="D20" s="54" t="s">
        <v>30</v>
      </c>
      <c r="E20" s="33">
        <f>E17*0.01</f>
        <v>59200</v>
      </c>
      <c r="F20" s="33"/>
      <c r="G20" s="55" t="s">
        <v>85</v>
      </c>
    </row>
    <row r="21" spans="2:9" ht="14.75" customHeight="1" thickBot="1" x14ac:dyDescent="0.35">
      <c r="B21" s="172"/>
      <c r="C21" s="173"/>
      <c r="D21" s="117" t="s">
        <v>58</v>
      </c>
      <c r="E21" s="118">
        <f>E17+E20</f>
        <v>5979200</v>
      </c>
      <c r="F21" s="118"/>
      <c r="G21" s="57"/>
    </row>
    <row r="22" spans="2:9" ht="14.75" customHeight="1" thickBot="1" x14ac:dyDescent="0.35">
      <c r="B22" s="157" t="s">
        <v>54</v>
      </c>
      <c r="C22" s="158"/>
      <c r="D22" s="158"/>
      <c r="E22" s="158"/>
      <c r="F22" s="158"/>
      <c r="G22" s="159"/>
    </row>
    <row r="23" spans="2:9" ht="14.75" customHeight="1" x14ac:dyDescent="0.3">
      <c r="B23" s="150" t="s">
        <v>97</v>
      </c>
      <c r="C23" s="58"/>
      <c r="D23" s="59" t="s">
        <v>74</v>
      </c>
      <c r="E23" s="119">
        <v>136714</v>
      </c>
      <c r="F23" s="120"/>
      <c r="G23" s="60" t="s">
        <v>95</v>
      </c>
    </row>
    <row r="24" spans="2:9" ht="14.75" customHeight="1" x14ac:dyDescent="0.3">
      <c r="B24" s="151"/>
      <c r="C24" s="58"/>
      <c r="D24" s="61" t="s">
        <v>31</v>
      </c>
      <c r="E24" s="121">
        <v>1222776</v>
      </c>
      <c r="F24" s="122"/>
      <c r="G24" s="62"/>
    </row>
    <row r="25" spans="2:9" ht="14.75" customHeight="1" x14ac:dyDescent="0.3">
      <c r="B25" s="151"/>
      <c r="C25" s="58"/>
      <c r="D25" s="61" t="s">
        <v>32</v>
      </c>
      <c r="E25" s="121">
        <v>12837</v>
      </c>
      <c r="F25" s="122"/>
      <c r="G25" s="62"/>
      <c r="I25" s="63"/>
    </row>
    <row r="26" spans="2:9" ht="14.75" customHeight="1" x14ac:dyDescent="0.3">
      <c r="B26" s="151"/>
      <c r="C26" s="58"/>
      <c r="D26" s="61" t="s">
        <v>87</v>
      </c>
      <c r="E26" s="123">
        <v>0</v>
      </c>
      <c r="F26" s="124"/>
      <c r="G26" s="62" t="s">
        <v>96</v>
      </c>
      <c r="I26" s="63"/>
    </row>
    <row r="27" spans="2:9" ht="14.75" customHeight="1" x14ac:dyDescent="0.3">
      <c r="B27" s="151"/>
      <c r="C27" s="58"/>
      <c r="D27" s="61" t="s">
        <v>88</v>
      </c>
      <c r="E27" s="121"/>
      <c r="F27" s="122"/>
      <c r="G27" s="62" t="s">
        <v>82</v>
      </c>
    </row>
    <row r="28" spans="2:9" ht="14.75" customHeight="1" thickBot="1" x14ac:dyDescent="0.35">
      <c r="B28" s="152"/>
      <c r="C28" s="58"/>
      <c r="D28" s="117" t="s">
        <v>59</v>
      </c>
      <c r="E28" s="118">
        <f>E23+E24+E25-E27</f>
        <v>1372327</v>
      </c>
      <c r="F28" s="125"/>
      <c r="G28" s="64"/>
    </row>
    <row r="29" spans="2:9" ht="14.75" customHeight="1" x14ac:dyDescent="0.3">
      <c r="B29" s="44"/>
      <c r="G29" s="41"/>
    </row>
    <row r="30" spans="2:9" ht="12.5" thickBot="1" x14ac:dyDescent="0.35">
      <c r="B30" s="157" t="s">
        <v>60</v>
      </c>
      <c r="C30" s="158"/>
      <c r="D30" s="158"/>
      <c r="E30" s="158"/>
      <c r="F30" s="158"/>
      <c r="G30" s="159"/>
    </row>
    <row r="31" spans="2:9" x14ac:dyDescent="0.3">
      <c r="B31" s="150" t="s">
        <v>66</v>
      </c>
      <c r="C31" s="65"/>
      <c r="D31" s="66" t="s">
        <v>73</v>
      </c>
      <c r="E31" s="67">
        <v>0</v>
      </c>
      <c r="F31" s="67"/>
      <c r="G31" s="53"/>
    </row>
    <row r="32" spans="2:9" x14ac:dyDescent="0.3">
      <c r="B32" s="151"/>
      <c r="C32" s="58"/>
      <c r="D32" s="68" t="s">
        <v>61</v>
      </c>
      <c r="E32" s="69">
        <v>0</v>
      </c>
      <c r="F32" s="69"/>
      <c r="G32" s="55"/>
    </row>
    <row r="33" spans="2:7" x14ac:dyDescent="0.3">
      <c r="B33" s="151"/>
      <c r="C33" s="58"/>
      <c r="D33" s="68" t="s">
        <v>92</v>
      </c>
      <c r="E33" s="69">
        <v>0</v>
      </c>
      <c r="F33" s="69"/>
      <c r="G33" s="55"/>
    </row>
    <row r="34" spans="2:7" ht="14.75" customHeight="1" x14ac:dyDescent="0.3">
      <c r="B34" s="151"/>
      <c r="C34" s="58"/>
      <c r="D34" s="70" t="s">
        <v>62</v>
      </c>
      <c r="E34" s="103">
        <f>SUM(E31:E33)</f>
        <v>0</v>
      </c>
      <c r="F34" s="103"/>
      <c r="G34" s="55"/>
    </row>
    <row r="35" spans="2:7" ht="12.5" thickBot="1" x14ac:dyDescent="0.35">
      <c r="B35" s="152"/>
      <c r="C35" s="71"/>
      <c r="D35" s="126" t="s">
        <v>63</v>
      </c>
      <c r="E35" s="118">
        <f>E21+E28+E34</f>
        <v>7351527</v>
      </c>
      <c r="F35" s="118"/>
      <c r="G35" s="117"/>
    </row>
    <row r="37" spans="2:7" ht="12.5" thickBot="1" x14ac:dyDescent="0.35">
      <c r="B37" s="174" t="s">
        <v>64</v>
      </c>
      <c r="C37" s="175"/>
      <c r="D37" s="175"/>
      <c r="E37" s="175"/>
      <c r="F37" s="175"/>
      <c r="G37" s="176"/>
    </row>
    <row r="38" spans="2:7" x14ac:dyDescent="0.3">
      <c r="B38" s="165" t="s">
        <v>77</v>
      </c>
      <c r="C38" s="72"/>
      <c r="D38" s="53" t="s">
        <v>75</v>
      </c>
      <c r="E38" s="73" t="s">
        <v>99</v>
      </c>
      <c r="F38" s="73" t="s">
        <v>98</v>
      </c>
      <c r="G38" s="53"/>
    </row>
    <row r="39" spans="2:7" x14ac:dyDescent="0.3">
      <c r="B39" s="166"/>
      <c r="C39" s="72"/>
      <c r="D39" s="78" t="s">
        <v>100</v>
      </c>
      <c r="E39" s="114">
        <f>0.2*E17</f>
        <v>1184000</v>
      </c>
      <c r="F39" s="114">
        <f>E39</f>
        <v>1184000</v>
      </c>
      <c r="G39" s="78"/>
    </row>
    <row r="40" spans="2:7" x14ac:dyDescent="0.3">
      <c r="B40" s="166"/>
      <c r="C40" s="58"/>
      <c r="D40" s="74" t="s">
        <v>104</v>
      </c>
      <c r="E40" s="127">
        <f>E17*0.8</f>
        <v>4736000</v>
      </c>
      <c r="F40" s="127">
        <f>E40</f>
        <v>4736000</v>
      </c>
      <c r="G40" s="55"/>
    </row>
    <row r="41" spans="2:7" x14ac:dyDescent="0.3">
      <c r="B41" s="166"/>
      <c r="C41" s="58"/>
      <c r="D41" s="61" t="s">
        <v>45</v>
      </c>
      <c r="E41" s="128">
        <v>48</v>
      </c>
      <c r="F41" s="128">
        <v>48</v>
      </c>
      <c r="G41" s="55"/>
    </row>
    <row r="42" spans="2:7" x14ac:dyDescent="0.3">
      <c r="B42" s="166"/>
      <c r="C42" s="58"/>
      <c r="D42" s="61" t="s">
        <v>119</v>
      </c>
      <c r="E42" s="129">
        <v>50600</v>
      </c>
      <c r="F42" s="129">
        <v>102105</v>
      </c>
      <c r="G42" s="55"/>
    </row>
    <row r="43" spans="2:7" x14ac:dyDescent="0.3">
      <c r="B43" s="166"/>
      <c r="C43" s="58"/>
      <c r="D43" s="61" t="s">
        <v>101</v>
      </c>
      <c r="E43" s="130">
        <v>9.5000000000000001E-2</v>
      </c>
      <c r="F43" s="130">
        <v>6.6100000000000006E-2</v>
      </c>
      <c r="G43" s="55"/>
    </row>
    <row r="44" spans="2:7" x14ac:dyDescent="0.3">
      <c r="B44" s="166"/>
      <c r="C44" s="58"/>
      <c r="D44" s="74" t="s">
        <v>67</v>
      </c>
      <c r="E44" s="131">
        <v>3383100</v>
      </c>
      <c r="F44" s="108" t="s">
        <v>106</v>
      </c>
      <c r="G44" s="55"/>
    </row>
    <row r="45" spans="2:7" x14ac:dyDescent="0.3">
      <c r="B45" s="166"/>
      <c r="C45" s="58"/>
      <c r="D45" s="61" t="s">
        <v>33</v>
      </c>
      <c r="E45" s="129">
        <v>18450</v>
      </c>
      <c r="F45" s="129">
        <v>18450</v>
      </c>
      <c r="G45" s="55"/>
    </row>
    <row r="46" spans="2:7" x14ac:dyDescent="0.3">
      <c r="B46" s="166"/>
      <c r="C46" s="58"/>
      <c r="D46" s="61" t="s">
        <v>34</v>
      </c>
      <c r="E46" s="140">
        <f>E42</f>
        <v>50600</v>
      </c>
      <c r="F46" s="109">
        <v>0</v>
      </c>
      <c r="G46" s="55"/>
    </row>
    <row r="47" spans="2:7" ht="12.5" thickBot="1" x14ac:dyDescent="0.35">
      <c r="B47" s="167"/>
      <c r="C47" s="58"/>
      <c r="D47" s="75" t="s">
        <v>76</v>
      </c>
      <c r="E47" s="110">
        <f>E40-(E45+E46)</f>
        <v>4666950</v>
      </c>
      <c r="F47" s="110">
        <f>F40-(F45+F46)</f>
        <v>4717550</v>
      </c>
      <c r="G47" s="57"/>
    </row>
    <row r="48" spans="2:7" x14ac:dyDescent="0.3">
      <c r="B48" s="153" t="s">
        <v>65</v>
      </c>
      <c r="C48" s="76"/>
      <c r="D48" s="77" t="s">
        <v>102</v>
      </c>
      <c r="E48" s="111">
        <v>500000</v>
      </c>
      <c r="F48" s="111"/>
      <c r="G48" s="78"/>
    </row>
    <row r="49" spans="2:7" x14ac:dyDescent="0.3">
      <c r="B49" s="153"/>
      <c r="C49" s="76"/>
      <c r="D49" s="79" t="s">
        <v>94</v>
      </c>
      <c r="E49" s="112">
        <v>0</v>
      </c>
      <c r="F49" s="112"/>
      <c r="G49" s="55"/>
    </row>
    <row r="50" spans="2:7" x14ac:dyDescent="0.3">
      <c r="B50" s="153"/>
      <c r="C50" s="76"/>
      <c r="D50" s="80" t="s">
        <v>68</v>
      </c>
      <c r="E50" s="113">
        <f>E48+E49</f>
        <v>500000</v>
      </c>
      <c r="F50" s="113"/>
      <c r="G50" s="55"/>
    </row>
    <row r="51" spans="2:7" ht="12.5" thickBot="1" x14ac:dyDescent="0.35">
      <c r="B51" s="154"/>
      <c r="C51" s="81"/>
      <c r="D51" s="126" t="s">
        <v>91</v>
      </c>
      <c r="E51" s="118">
        <f>E35-E50</f>
        <v>6851527</v>
      </c>
      <c r="F51" s="118"/>
      <c r="G51" s="117"/>
    </row>
    <row r="52" spans="2:7" x14ac:dyDescent="0.3">
      <c r="B52" s="82"/>
      <c r="C52" s="76"/>
      <c r="D52" s="83"/>
      <c r="E52" s="84"/>
      <c r="F52" s="84"/>
      <c r="G52" s="41"/>
    </row>
    <row r="53" spans="2:7" ht="12.5" thickBot="1" x14ac:dyDescent="0.35">
      <c r="B53" s="85"/>
      <c r="C53" s="86"/>
      <c r="G53" s="41"/>
    </row>
    <row r="54" spans="2:7" ht="12.5" thickBot="1" x14ac:dyDescent="0.35">
      <c r="B54" s="87" t="s">
        <v>69</v>
      </c>
      <c r="C54" s="88"/>
      <c r="D54" s="89" t="s">
        <v>105</v>
      </c>
      <c r="E54" s="89" t="s">
        <v>93</v>
      </c>
      <c r="F54" s="89"/>
      <c r="G54" s="89" t="s">
        <v>70</v>
      </c>
    </row>
    <row r="55" spans="2:7" x14ac:dyDescent="0.3">
      <c r="B55" s="59" t="s">
        <v>89</v>
      </c>
      <c r="C55" s="86"/>
      <c r="D55" s="90">
        <v>150000</v>
      </c>
      <c r="E55" s="91"/>
      <c r="F55" s="91"/>
      <c r="G55" s="92" t="s">
        <v>83</v>
      </c>
    </row>
    <row r="56" spans="2:7" ht="24" x14ac:dyDescent="0.3">
      <c r="B56" s="61" t="s">
        <v>107</v>
      </c>
      <c r="C56" s="86"/>
      <c r="D56" s="104">
        <f>E21-D55-E47</f>
        <v>1162250</v>
      </c>
      <c r="E56" s="106"/>
      <c r="F56" s="106"/>
      <c r="G56" s="107"/>
    </row>
    <row r="57" spans="2:7" ht="36" x14ac:dyDescent="0.3">
      <c r="B57" s="61" t="s">
        <v>108</v>
      </c>
      <c r="C57" s="86"/>
      <c r="D57" s="104">
        <f>E21-D55-F47</f>
        <v>1111650</v>
      </c>
      <c r="E57" s="93"/>
      <c r="F57" s="93"/>
      <c r="G57" s="94" t="s">
        <v>84</v>
      </c>
    </row>
    <row r="58" spans="2:7" x14ac:dyDescent="0.3">
      <c r="B58" s="55" t="s">
        <v>78</v>
      </c>
      <c r="C58" s="86"/>
      <c r="D58" s="104"/>
      <c r="E58" s="104">
        <f>E28+E34-E50</f>
        <v>872327</v>
      </c>
      <c r="F58" s="104"/>
      <c r="G58" s="94" t="s">
        <v>83</v>
      </c>
    </row>
    <row r="59" spans="2:7" ht="12.5" thickBot="1" x14ac:dyDescent="0.35">
      <c r="B59" s="57" t="s">
        <v>79</v>
      </c>
      <c r="C59" s="95"/>
      <c r="D59" s="105">
        <f>F47</f>
        <v>4717550</v>
      </c>
      <c r="E59" s="96"/>
      <c r="F59" s="96"/>
      <c r="G59" s="57"/>
    </row>
    <row r="60" spans="2:7" x14ac:dyDescent="0.3">
      <c r="C60" s="86"/>
      <c r="D60" s="97"/>
    </row>
    <row r="61" spans="2:7" ht="12.5" thickBot="1" x14ac:dyDescent="0.35">
      <c r="B61" s="98"/>
      <c r="C61" s="86"/>
    </row>
    <row r="62" spans="2:7" x14ac:dyDescent="0.3">
      <c r="B62" s="98"/>
      <c r="C62" s="86"/>
      <c r="G62" s="147"/>
    </row>
    <row r="63" spans="2:7" x14ac:dyDescent="0.3">
      <c r="B63" s="98"/>
      <c r="C63" s="86"/>
      <c r="G63" s="148"/>
    </row>
    <row r="64" spans="2:7" ht="12.5" thickBot="1" x14ac:dyDescent="0.35">
      <c r="B64" s="98"/>
      <c r="C64" s="86"/>
      <c r="G64" s="149"/>
    </row>
    <row r="65" spans="2:7" x14ac:dyDescent="0.3">
      <c r="B65" s="98"/>
      <c r="C65" s="86"/>
      <c r="G65" s="97" t="s">
        <v>90</v>
      </c>
    </row>
    <row r="69" spans="2:7" s="101" customFormat="1" ht="296" x14ac:dyDescent="0.2">
      <c r="B69" s="99" t="s">
        <v>39</v>
      </c>
      <c r="C69" s="100" t="s">
        <v>35</v>
      </c>
      <c r="D69" s="99" t="s">
        <v>51</v>
      </c>
      <c r="E69" s="99"/>
      <c r="F69" s="99"/>
    </row>
    <row r="70" spans="2:7" s="101" customFormat="1" ht="17.75" customHeight="1" x14ac:dyDescent="0.2">
      <c r="C70" s="100" t="s">
        <v>36</v>
      </c>
      <c r="E70" s="99"/>
      <c r="F70" s="99"/>
    </row>
    <row r="71" spans="2:7" s="101" customFormat="1" ht="20.75" customHeight="1" x14ac:dyDescent="0.2">
      <c r="C71" s="100" t="s">
        <v>37</v>
      </c>
    </row>
    <row r="72" spans="2:7" s="101" customFormat="1" ht="8" x14ac:dyDescent="0.2">
      <c r="E72" s="102"/>
      <c r="F72" s="102"/>
    </row>
    <row r="73" spans="2:7" s="101" customFormat="1" ht="8" x14ac:dyDescent="0.2">
      <c r="C73" s="100" t="s">
        <v>38</v>
      </c>
      <c r="E73" s="102"/>
      <c r="F73" s="102"/>
    </row>
    <row r="74" spans="2:7" s="101" customFormat="1" ht="8" x14ac:dyDescent="0.2">
      <c r="D74" s="99"/>
      <c r="E74" s="102"/>
      <c r="F74" s="102"/>
    </row>
  </sheetData>
  <sheetProtection algorithmName="SHA-512" hashValue="CVXZsomCA/LouBlG/VcY/AU08Avt6aPRjocNpW1ymZ+I6CUsnJ9KJuGE09cD3Huv5+rudZeFiRP/x1ZcbP0n5w==" saltValue="Z8OutEDEaXqIp4MSVMFdrQ==" spinCount="100000" sheet="1" selectLockedCells="1"/>
  <mergeCells count="13">
    <mergeCell ref="B22:G22"/>
    <mergeCell ref="B2:G2"/>
    <mergeCell ref="E3:G3"/>
    <mergeCell ref="B10:D10"/>
    <mergeCell ref="B11:G11"/>
    <mergeCell ref="B12:C21"/>
    <mergeCell ref="G62:G64"/>
    <mergeCell ref="B23:B28"/>
    <mergeCell ref="B30:G30"/>
    <mergeCell ref="B31:B35"/>
    <mergeCell ref="B37:G37"/>
    <mergeCell ref="B38:B47"/>
    <mergeCell ref="B48:B51"/>
  </mergeCells>
  <dataValidations count="2">
    <dataValidation type="list" allowBlank="1" showInputMessage="1" showErrorMessage="1" prompt="Select Tenure" sqref="E41:F41" xr:uid="{3F5215AF-E9BC-431B-9152-6DB1C1CD72C7}">
      <formula1>"12, 24, 36, 48, 60, 72, 84"</formula1>
    </dataValidation>
    <dataValidation type="list" allowBlank="1" showInputMessage="1" showErrorMessage="1" prompt="Select Booking Amount" sqref="D55" xr:uid="{E9F0BEA1-BFD9-4CF5-9BDA-8ABA58A17B86}">
      <formula1>"150000, 500000,1000000"</formula1>
    </dataValidation>
  </dataValidations>
  <pageMargins left="0.7" right="0.7" top="0.75" bottom="0.75" header="0.3" footer="0.3"/>
  <pageSetup scale="65" fitToHeight="0" orientation="portrait" r:id="rId1"/>
  <ignoredErrors>
    <ignoredError sqref="E39:E40 F39:F40"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0D1CD-F035-49C2-AAF3-73EAF82D1EA4}">
  <sheetPr>
    <pageSetUpPr fitToPage="1"/>
  </sheetPr>
  <dimension ref="B1:I56"/>
  <sheetViews>
    <sheetView showGridLines="0" topLeftCell="A24" workbookViewId="0">
      <selection activeCell="G18" sqref="G18"/>
    </sheetView>
  </sheetViews>
  <sheetFormatPr defaultColWidth="8.81640625" defaultRowHeight="12" x14ac:dyDescent="0.3"/>
  <cols>
    <col min="1" max="1" width="8.81640625" style="34"/>
    <col min="2" max="2" width="35.08984375" style="34" bestFit="1" customWidth="1"/>
    <col min="3" max="3" width="7.1796875" style="34" hidden="1" customWidth="1"/>
    <col min="4" max="4" width="42.1796875" style="34" customWidth="1"/>
    <col min="5" max="6" width="15.54296875" style="35" customWidth="1"/>
    <col min="7" max="7" width="42.453125" style="34" bestFit="1" customWidth="1"/>
    <col min="8" max="8" width="8.81640625" style="34"/>
    <col min="9" max="9" width="47.1796875" style="34" customWidth="1"/>
    <col min="10" max="16384" width="8.81640625" style="34"/>
  </cols>
  <sheetData>
    <row r="1" spans="2:7" ht="8.75" customHeight="1" thickBot="1" x14ac:dyDescent="0.35"/>
    <row r="2" spans="2:7" ht="21" customHeight="1" thickBot="1" x14ac:dyDescent="0.35">
      <c r="B2" s="160" t="s">
        <v>103</v>
      </c>
      <c r="C2" s="161"/>
      <c r="D2" s="161"/>
      <c r="E2" s="161"/>
      <c r="F2" s="161"/>
      <c r="G2" s="162"/>
    </row>
    <row r="3" spans="2:7" x14ac:dyDescent="0.3">
      <c r="B3" s="36"/>
      <c r="C3" s="37"/>
      <c r="D3" s="37"/>
      <c r="E3" s="163">
        <f ca="1">TODAY()</f>
        <v>46245</v>
      </c>
      <c r="F3" s="163"/>
      <c r="G3" s="164"/>
    </row>
    <row r="4" spans="2:7" x14ac:dyDescent="0.3">
      <c r="B4" s="134" t="s">
        <v>20</v>
      </c>
      <c r="D4" s="39" t="s">
        <v>21</v>
      </c>
      <c r="E4" s="137"/>
      <c r="F4" s="40"/>
      <c r="G4" s="41"/>
    </row>
    <row r="5" spans="2:7" x14ac:dyDescent="0.3">
      <c r="B5" s="141" t="s">
        <v>22</v>
      </c>
      <c r="D5" s="39" t="s">
        <v>23</v>
      </c>
      <c r="E5" s="138"/>
      <c r="G5" s="43" t="s">
        <v>118</v>
      </c>
    </row>
    <row r="6" spans="2:7" x14ac:dyDescent="0.3">
      <c r="B6" s="141" t="s">
        <v>43</v>
      </c>
      <c r="D6" s="39" t="s">
        <v>52</v>
      </c>
      <c r="E6" s="138"/>
      <c r="G6" s="43" t="s">
        <v>24</v>
      </c>
    </row>
    <row r="7" spans="2:7" x14ac:dyDescent="0.3">
      <c r="B7" s="142"/>
      <c r="G7" s="43" t="s">
        <v>25</v>
      </c>
    </row>
    <row r="8" spans="2:7" ht="13.5" x14ac:dyDescent="0.35">
      <c r="B8" s="142"/>
      <c r="D8" s="45" t="s">
        <v>86</v>
      </c>
      <c r="G8" s="41"/>
    </row>
    <row r="9" spans="2:7" ht="12.5" thickBot="1" x14ac:dyDescent="0.35">
      <c r="B9" s="136"/>
      <c r="C9" s="47"/>
      <c r="D9" s="47"/>
      <c r="E9" s="48"/>
      <c r="F9" s="48"/>
      <c r="G9" s="49"/>
    </row>
    <row r="10" spans="2:7" ht="12.5" thickBot="1" x14ac:dyDescent="0.35">
      <c r="B10" s="155" t="s">
        <v>4</v>
      </c>
      <c r="C10" s="156"/>
      <c r="D10" s="156"/>
      <c r="E10" s="50" t="s">
        <v>26</v>
      </c>
      <c r="F10" s="50"/>
      <c r="G10" s="51" t="s">
        <v>71</v>
      </c>
    </row>
    <row r="11" spans="2:7" ht="14.75" customHeight="1" thickBot="1" x14ac:dyDescent="0.35">
      <c r="B11" s="157" t="s">
        <v>53</v>
      </c>
      <c r="C11" s="158"/>
      <c r="D11" s="158"/>
      <c r="E11" s="158"/>
      <c r="F11" s="158"/>
      <c r="G11" s="159"/>
    </row>
    <row r="12" spans="2:7" ht="14.75" customHeight="1" x14ac:dyDescent="0.3">
      <c r="B12" s="168" t="s">
        <v>53</v>
      </c>
      <c r="C12" s="169"/>
      <c r="D12" s="52" t="s">
        <v>27</v>
      </c>
      <c r="E12" s="115">
        <v>6120000</v>
      </c>
      <c r="F12" s="115"/>
      <c r="G12" s="53"/>
    </row>
    <row r="13" spans="2:7" ht="14.75" customHeight="1" x14ac:dyDescent="0.3">
      <c r="B13" s="170"/>
      <c r="C13" s="171"/>
      <c r="D13" s="54" t="s">
        <v>57</v>
      </c>
      <c r="E13" s="116">
        <v>100000</v>
      </c>
      <c r="F13" s="116"/>
      <c r="G13" s="55" t="s">
        <v>81</v>
      </c>
    </row>
    <row r="14" spans="2:7" ht="14.75" customHeight="1" x14ac:dyDescent="0.3">
      <c r="B14" s="170"/>
      <c r="C14" s="171"/>
      <c r="D14" s="54" t="s">
        <v>28</v>
      </c>
      <c r="E14" s="116">
        <v>100000</v>
      </c>
      <c r="F14" s="116"/>
      <c r="G14" s="55" t="s">
        <v>72</v>
      </c>
    </row>
    <row r="15" spans="2:7" ht="15" customHeight="1" x14ac:dyDescent="0.3">
      <c r="B15" s="170"/>
      <c r="C15" s="171"/>
      <c r="D15" s="54" t="s">
        <v>55</v>
      </c>
      <c r="E15" s="116">
        <v>0</v>
      </c>
      <c r="F15" s="116"/>
      <c r="G15" s="55" t="s">
        <v>80</v>
      </c>
    </row>
    <row r="16" spans="2:7" ht="15" customHeight="1" x14ac:dyDescent="0.3">
      <c r="B16" s="170"/>
      <c r="C16" s="171"/>
      <c r="D16" s="54" t="s">
        <v>56</v>
      </c>
      <c r="E16" s="116"/>
      <c r="F16" s="116"/>
      <c r="G16" s="55"/>
    </row>
    <row r="17" spans="2:9" ht="14.75" customHeight="1" x14ac:dyDescent="0.3">
      <c r="B17" s="170"/>
      <c r="C17" s="171"/>
      <c r="D17" s="56" t="s">
        <v>29</v>
      </c>
      <c r="E17" s="33">
        <f>E12-E13-E14-E15-E16</f>
        <v>5920000</v>
      </c>
      <c r="F17" s="33"/>
      <c r="G17" s="55"/>
    </row>
    <row r="18" spans="2:9" ht="14.75" customHeight="1" x14ac:dyDescent="0.3">
      <c r="B18" s="170"/>
      <c r="C18" s="171"/>
      <c r="D18" s="54" t="s">
        <v>109</v>
      </c>
      <c r="E18" s="33"/>
      <c r="F18" s="33"/>
      <c r="G18" s="55"/>
    </row>
    <row r="19" spans="2:9" ht="14.75" customHeight="1" x14ac:dyDescent="0.3">
      <c r="B19" s="170"/>
      <c r="C19" s="171"/>
      <c r="D19" s="32" t="s">
        <v>44</v>
      </c>
      <c r="E19" s="33"/>
      <c r="F19" s="33"/>
      <c r="G19" s="55"/>
    </row>
    <row r="20" spans="2:9" ht="14.75" customHeight="1" x14ac:dyDescent="0.3">
      <c r="B20" s="170"/>
      <c r="C20" s="171"/>
      <c r="D20" s="54" t="s">
        <v>30</v>
      </c>
      <c r="E20" s="33">
        <f>E17*0.01</f>
        <v>59200</v>
      </c>
      <c r="F20" s="33"/>
      <c r="G20" s="55" t="s">
        <v>85</v>
      </c>
    </row>
    <row r="21" spans="2:9" ht="14.75" customHeight="1" thickBot="1" x14ac:dyDescent="0.35">
      <c r="B21" s="172"/>
      <c r="C21" s="173"/>
      <c r="D21" s="117" t="s">
        <v>58</v>
      </c>
      <c r="E21" s="118">
        <f>E17+E20</f>
        <v>5979200</v>
      </c>
      <c r="F21" s="118"/>
      <c r="G21" s="57"/>
    </row>
    <row r="22" spans="2:9" ht="14.75" customHeight="1" thickBot="1" x14ac:dyDescent="0.35">
      <c r="B22" s="157" t="s">
        <v>54</v>
      </c>
      <c r="C22" s="158"/>
      <c r="D22" s="158"/>
      <c r="E22" s="158"/>
      <c r="F22" s="158"/>
      <c r="G22" s="159"/>
    </row>
    <row r="23" spans="2:9" ht="14.75" customHeight="1" x14ac:dyDescent="0.3">
      <c r="B23" s="150" t="s">
        <v>97</v>
      </c>
      <c r="C23" s="58"/>
      <c r="D23" s="59" t="s">
        <v>74</v>
      </c>
      <c r="E23" s="119">
        <v>136714</v>
      </c>
      <c r="F23" s="120"/>
      <c r="G23" s="60" t="s">
        <v>95</v>
      </c>
    </row>
    <row r="24" spans="2:9" ht="14.75" customHeight="1" x14ac:dyDescent="0.3">
      <c r="B24" s="151"/>
      <c r="C24" s="58"/>
      <c r="D24" s="61" t="s">
        <v>31</v>
      </c>
      <c r="E24" s="121">
        <v>1222776</v>
      </c>
      <c r="F24" s="122"/>
      <c r="G24" s="62"/>
    </row>
    <row r="25" spans="2:9" ht="14.75" customHeight="1" x14ac:dyDescent="0.3">
      <c r="B25" s="151"/>
      <c r="C25" s="58"/>
      <c r="D25" s="61" t="s">
        <v>32</v>
      </c>
      <c r="E25" s="121">
        <v>12837</v>
      </c>
      <c r="F25" s="122"/>
      <c r="G25" s="62"/>
      <c r="I25" s="63"/>
    </row>
    <row r="26" spans="2:9" ht="14.75" customHeight="1" x14ac:dyDescent="0.3">
      <c r="B26" s="151"/>
      <c r="C26" s="58"/>
      <c r="D26" s="61" t="s">
        <v>87</v>
      </c>
      <c r="E26" s="123">
        <v>0</v>
      </c>
      <c r="F26" s="124"/>
      <c r="G26" s="62" t="s">
        <v>96</v>
      </c>
      <c r="I26" s="63"/>
    </row>
    <row r="27" spans="2:9" ht="14.75" customHeight="1" x14ac:dyDescent="0.3">
      <c r="B27" s="151"/>
      <c r="C27" s="58"/>
      <c r="D27" s="61" t="s">
        <v>88</v>
      </c>
      <c r="E27" s="121"/>
      <c r="F27" s="122"/>
      <c r="G27" s="62" t="s">
        <v>82</v>
      </c>
    </row>
    <row r="28" spans="2:9" ht="14.75" customHeight="1" thickBot="1" x14ac:dyDescent="0.35">
      <c r="B28" s="152"/>
      <c r="C28" s="58"/>
      <c r="D28" s="117" t="s">
        <v>59</v>
      </c>
      <c r="E28" s="118">
        <f>E23+E24+E25-E27</f>
        <v>1372327</v>
      </c>
      <c r="F28" s="125"/>
      <c r="G28" s="64"/>
    </row>
    <row r="29" spans="2:9" ht="14.75" customHeight="1" x14ac:dyDescent="0.3">
      <c r="B29" s="44"/>
      <c r="G29" s="41"/>
    </row>
    <row r="30" spans="2:9" ht="12.5" thickBot="1" x14ac:dyDescent="0.35">
      <c r="B30" s="157" t="s">
        <v>60</v>
      </c>
      <c r="C30" s="158"/>
      <c r="D30" s="158"/>
      <c r="E30" s="158"/>
      <c r="F30" s="158"/>
      <c r="G30" s="159"/>
    </row>
    <row r="31" spans="2:9" x14ac:dyDescent="0.3">
      <c r="B31" s="150" t="s">
        <v>66</v>
      </c>
      <c r="C31" s="65"/>
      <c r="D31" s="66" t="s">
        <v>73</v>
      </c>
      <c r="E31" s="119">
        <v>0</v>
      </c>
      <c r="F31" s="67"/>
      <c r="G31" s="53"/>
    </row>
    <row r="32" spans="2:9" x14ac:dyDescent="0.3">
      <c r="B32" s="151"/>
      <c r="C32" s="58"/>
      <c r="D32" s="68" t="s">
        <v>61</v>
      </c>
      <c r="E32" s="121">
        <v>0</v>
      </c>
      <c r="F32" s="69"/>
      <c r="G32" s="55"/>
    </row>
    <row r="33" spans="2:7" x14ac:dyDescent="0.3">
      <c r="B33" s="151"/>
      <c r="C33" s="58"/>
      <c r="D33" s="68" t="s">
        <v>92</v>
      </c>
      <c r="E33" s="121">
        <v>0</v>
      </c>
      <c r="F33" s="69"/>
      <c r="G33" s="55"/>
    </row>
    <row r="34" spans="2:7" ht="14.75" customHeight="1" x14ac:dyDescent="0.3">
      <c r="B34" s="151"/>
      <c r="C34" s="58"/>
      <c r="D34" s="70" t="s">
        <v>62</v>
      </c>
      <c r="E34" s="103">
        <f>SUM(E31:E33)</f>
        <v>0</v>
      </c>
      <c r="F34" s="103"/>
      <c r="G34" s="55"/>
    </row>
    <row r="35" spans="2:7" ht="12.5" thickBot="1" x14ac:dyDescent="0.35">
      <c r="B35" s="152"/>
      <c r="C35" s="71"/>
      <c r="D35" s="126" t="s">
        <v>113</v>
      </c>
      <c r="E35" s="118">
        <f>E21+E28+E34</f>
        <v>7351527</v>
      </c>
      <c r="F35" s="118"/>
      <c r="G35" s="117"/>
    </row>
    <row r="37" spans="2:7" ht="12.5" thickBot="1" x14ac:dyDescent="0.35">
      <c r="B37" s="85"/>
      <c r="C37" s="86"/>
      <c r="G37" s="41"/>
    </row>
    <row r="38" spans="2:7" ht="12.5" thickBot="1" x14ac:dyDescent="0.35">
      <c r="B38" s="87" t="s">
        <v>69</v>
      </c>
      <c r="C38" s="88"/>
      <c r="D38" s="89" t="s">
        <v>105</v>
      </c>
      <c r="E38" s="89" t="s">
        <v>93</v>
      </c>
      <c r="F38" s="89"/>
      <c r="G38" s="89" t="s">
        <v>70</v>
      </c>
    </row>
    <row r="39" spans="2:7" x14ac:dyDescent="0.3">
      <c r="B39" s="59" t="s">
        <v>89</v>
      </c>
      <c r="C39" s="86"/>
      <c r="D39" s="143">
        <v>150000</v>
      </c>
      <c r="E39" s="91"/>
      <c r="F39" s="91"/>
      <c r="G39" s="92" t="s">
        <v>83</v>
      </c>
    </row>
    <row r="40" spans="2:7" ht="36" x14ac:dyDescent="0.3">
      <c r="B40" s="61" t="s">
        <v>112</v>
      </c>
      <c r="C40" s="86"/>
      <c r="D40" s="104">
        <f>E21-D39</f>
        <v>5829200</v>
      </c>
      <c r="E40" s="93"/>
      <c r="F40" s="93"/>
      <c r="G40" s="94" t="s">
        <v>84</v>
      </c>
    </row>
    <row r="41" spans="2:7" x14ac:dyDescent="0.3">
      <c r="B41" s="55" t="s">
        <v>78</v>
      </c>
      <c r="C41" s="86"/>
      <c r="D41" s="104"/>
      <c r="E41" s="104">
        <f>E28+E34</f>
        <v>1372327</v>
      </c>
      <c r="F41" s="104"/>
      <c r="G41" s="94" t="s">
        <v>83</v>
      </c>
    </row>
    <row r="42" spans="2:7" x14ac:dyDescent="0.3">
      <c r="C42" s="86"/>
      <c r="D42" s="97"/>
    </row>
    <row r="43" spans="2:7" ht="12.5" thickBot="1" x14ac:dyDescent="0.35">
      <c r="B43" s="98"/>
      <c r="C43" s="86"/>
    </row>
    <row r="44" spans="2:7" x14ac:dyDescent="0.3">
      <c r="B44" s="98"/>
      <c r="C44" s="86"/>
      <c r="G44" s="147"/>
    </row>
    <row r="45" spans="2:7" x14ac:dyDescent="0.3">
      <c r="B45" s="98"/>
      <c r="C45" s="86"/>
      <c r="G45" s="148"/>
    </row>
    <row r="46" spans="2:7" ht="12.5" thickBot="1" x14ac:dyDescent="0.35">
      <c r="B46" s="98"/>
      <c r="C46" s="86"/>
      <c r="G46" s="149"/>
    </row>
    <row r="47" spans="2:7" x14ac:dyDescent="0.3">
      <c r="B47" s="98"/>
      <c r="C47" s="86"/>
      <c r="G47" s="97" t="s">
        <v>90</v>
      </c>
    </row>
    <row r="51" spans="2:6" s="101" customFormat="1" ht="296" x14ac:dyDescent="0.2">
      <c r="B51" s="99" t="s">
        <v>39</v>
      </c>
      <c r="C51" s="100" t="s">
        <v>35</v>
      </c>
      <c r="D51" s="99" t="s">
        <v>51</v>
      </c>
      <c r="E51" s="99"/>
      <c r="F51" s="99"/>
    </row>
    <row r="52" spans="2:6" s="101" customFormat="1" ht="17.75" customHeight="1" x14ac:dyDescent="0.2">
      <c r="C52" s="100" t="s">
        <v>36</v>
      </c>
      <c r="E52" s="99"/>
      <c r="F52" s="99"/>
    </row>
    <row r="53" spans="2:6" s="101" customFormat="1" ht="20.75" customHeight="1" x14ac:dyDescent="0.2">
      <c r="C53" s="100" t="s">
        <v>37</v>
      </c>
    </row>
    <row r="54" spans="2:6" s="101" customFormat="1" ht="8" x14ac:dyDescent="0.2">
      <c r="E54" s="102"/>
      <c r="F54" s="102"/>
    </row>
    <row r="55" spans="2:6" s="101" customFormat="1" ht="8" x14ac:dyDescent="0.2">
      <c r="C55" s="100" t="s">
        <v>38</v>
      </c>
      <c r="E55" s="102"/>
      <c r="F55" s="102"/>
    </row>
    <row r="56" spans="2:6" s="101" customFormat="1" ht="8" x14ac:dyDescent="0.2">
      <c r="D56" s="99"/>
      <c r="E56" s="102"/>
      <c r="F56" s="102"/>
    </row>
  </sheetData>
  <sheetProtection algorithmName="SHA-512" hashValue="cr3GAS+Xdp5WEm2KZiie5nNF/o10XW/+d7dUzpBIcvQXGMtgDsqrnOafTdXn+0in8VYAXEumm4FamHVzVTgamw==" saltValue="HHr2uMPWh3Wv+oZ/DkIedQ==" spinCount="100000" sheet="1" selectLockedCells="1"/>
  <mergeCells count="10">
    <mergeCell ref="G44:G46"/>
    <mergeCell ref="B23:B28"/>
    <mergeCell ref="B30:G30"/>
    <mergeCell ref="B31:B35"/>
    <mergeCell ref="B2:G2"/>
    <mergeCell ref="E3:G3"/>
    <mergeCell ref="B10:D10"/>
    <mergeCell ref="B11:G11"/>
    <mergeCell ref="B12:C21"/>
    <mergeCell ref="B22:G22"/>
  </mergeCells>
  <dataValidations count="1">
    <dataValidation type="list" allowBlank="1" showInputMessage="1" showErrorMessage="1" prompt="Select Booking Amount" sqref="D39" xr:uid="{A3AC91F2-431C-47B2-8F1B-A8C2A9E41978}">
      <formula1>"150000, 500000,1000000"</formula1>
    </dataValidation>
  </dataValidations>
  <pageMargins left="0.7" right="0.7" top="0.75" bottom="0.75" header="0.3" footer="0.3"/>
  <pageSetup scale="65"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0B31C-97CD-4A63-B437-725949EC1EFF}">
  <dimension ref="A1:A4"/>
  <sheetViews>
    <sheetView workbookViewId="0"/>
  </sheetViews>
  <sheetFormatPr defaultRowHeight="14.5" x14ac:dyDescent="0.35"/>
  <cols>
    <col min="1" max="1" width="112.1796875" customWidth="1"/>
  </cols>
  <sheetData>
    <row r="1" spans="1:1" ht="88" x14ac:dyDescent="0.35">
      <c r="A1" s="31" t="s">
        <v>39</v>
      </c>
    </row>
    <row r="2" spans="1:1" ht="48" x14ac:dyDescent="0.35">
      <c r="A2" s="31" t="s">
        <v>40</v>
      </c>
    </row>
    <row r="3" spans="1:1" ht="56" x14ac:dyDescent="0.35">
      <c r="A3" s="31" t="s">
        <v>41</v>
      </c>
    </row>
    <row r="4" spans="1:1" x14ac:dyDescent="0.35">
      <c r="A4" s="3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Individual</vt:lpstr>
      <vt:lpstr>Corporate or Company </vt:lpstr>
      <vt:lpstr>Leasing</vt:lpstr>
      <vt:lpstr>Disclaimer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Biswas, Shreeja (185)</dc:creator>
  <cp:keywords/>
  <dc:description/>
  <cp:lastModifiedBy>Sandil, Anjana (185)</cp:lastModifiedBy>
  <cp:revision/>
  <cp:lastPrinted>2026-08-10T16:59:53Z</cp:lastPrinted>
  <dcterms:created xsi:type="dcterms:W3CDTF">2026-08-01T06:58:28Z</dcterms:created>
  <dcterms:modified xsi:type="dcterms:W3CDTF">2026-08-11T13:13:31Z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4dbb1d-991d-4bbd-aad5-33bac1d8ffaf_Enabled">
    <vt:lpwstr>true</vt:lpwstr>
  </property>
  <property fmtid="{D5CDD505-2E9C-101B-9397-08002B2CF9AE}" pid="3" name="MSIP_Label_924dbb1d-991d-4bbd-aad5-33bac1d8ffaf_SetDate">
    <vt:lpwstr>2026-08-01T07:36:17Z</vt:lpwstr>
  </property>
  <property fmtid="{D5CDD505-2E9C-101B-9397-08002B2CF9AE}" pid="4" name="MSIP_Label_924dbb1d-991d-4bbd-aad5-33bac1d8ffaf_Method">
    <vt:lpwstr>Standard</vt:lpwstr>
  </property>
  <property fmtid="{D5CDD505-2E9C-101B-9397-08002B2CF9AE}" pid="5" name="MSIP_Label_924dbb1d-991d-4bbd-aad5-33bac1d8ffaf_Name">
    <vt:lpwstr>924dbb1d-991d-4bbd-aad5-33bac1d8ffaf</vt:lpwstr>
  </property>
  <property fmtid="{D5CDD505-2E9C-101B-9397-08002B2CF9AE}" pid="6" name="MSIP_Label_924dbb1d-991d-4bbd-aad5-33bac1d8ffaf_SiteId">
    <vt:lpwstr>9652d7c2-1ccf-4940-8151-4a92bd474ed0</vt:lpwstr>
  </property>
  <property fmtid="{D5CDD505-2E9C-101B-9397-08002B2CF9AE}" pid="7" name="MSIP_Label_924dbb1d-991d-4bbd-aad5-33bac1d8ffaf_ActionId">
    <vt:lpwstr>e31b924a-67c8-49fe-9301-f4265c7cecb0</vt:lpwstr>
  </property>
  <property fmtid="{D5CDD505-2E9C-101B-9397-08002B2CF9AE}" pid="8" name="MSIP_Label_924dbb1d-991d-4bbd-aad5-33bac1d8ffaf_ContentBits">
    <vt:lpwstr>0</vt:lpwstr>
  </property>
  <property fmtid="{D5CDD505-2E9C-101B-9397-08002B2CF9AE}" pid="9" name="MSIP_Label_924dbb1d-991d-4bbd-aad5-33bac1d8ffaf_Tag">
    <vt:lpwstr>10, 3, 0, 1</vt:lpwstr>
  </property>
</Properties>
</file>