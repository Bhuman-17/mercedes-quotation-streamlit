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orpdir-my.sharepoint.com/personal/vishnv1_apac_corpdir_net/Documents/Microsoft Teams Chat Files/"/>
    </mc:Choice>
  </mc:AlternateContent>
  <xr:revisionPtr revIDLastSave="111" documentId="13_ncr:1_{868811FF-88A8-4BE4-B254-8DA4FE392D39}" xr6:coauthVersionLast="47" xr6:coauthVersionMax="47" xr10:uidLastSave="{207AF886-B8D4-4BAC-B7D0-76E53218911F}"/>
  <bookViews>
    <workbookView xWindow="-120" yWindow="-120" windowWidth="38640" windowHeight="21120" xr2:uid="{556DF0C0-344C-4583-98AA-B48C82B40F7F}"/>
  </bookViews>
  <sheets>
    <sheet name="Price List " sheetId="1" r:id="rId1"/>
    <sheet name="Sheet1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__mds_view_data___">[1]Alea_A!#REF!</definedName>
    <definedName name="_xlnm._FilterDatabase" localSheetId="0" hidden="1">'Price List '!$A$7:$AA$71</definedName>
    <definedName name="A160KL">#REF!</definedName>
    <definedName name="Aufbauarten">INDIRECT("Daten!$F1:$F" &amp; COUNTA([2]Daten!$F:$F))</definedName>
    <definedName name="Datenart">INDIRECT("Daten!$H1:$H" &amp; COUNTA([2]Daten!$H:$H))</definedName>
    <definedName name="DiffMarkup">INDIRECT("Daten!$AB1:$AB" &amp; COUNTA([2]Daten!$AB:$AB))</definedName>
    <definedName name="Fahrzeug">INDIRECT("Daten!$V1:$V" &amp; COUNTA([2]Daten!$V:$V))</definedName>
    <definedName name="FahrzeugPrint">INDIRECT("Daten!$Z1:$Z" &amp; COUNTA([2]Daten!$Z:$Z))</definedName>
    <definedName name="FzgMarkup">INDIRECT("Daten!$X1:$X" &amp; COUNTA([2]Daten!$X:$X))</definedName>
    <definedName name="Info.AggrLevel">#REF!</definedName>
    <definedName name="Info.Name">#REF!</definedName>
    <definedName name="Jahr">INDIRECT("Daten!$N1:$N" &amp; COUNTA([2]Daten!$N:$N))</definedName>
    <definedName name="Jahre">[3]Quelle!$G$3:$G$10</definedName>
    <definedName name="Kennzahlen">[3]Quelle!$B$3:$B$10</definedName>
    <definedName name="KUFRI">[3]Quelle!$F$3:$F$9</definedName>
    <definedName name="kufriop">[3]Quelle!$F$3:$F$11</definedName>
    <definedName name="Land">[4]Cockpit!$H$2</definedName>
    <definedName name="Leer">#REF!</definedName>
    <definedName name="Mode">[2]Daten!$AD$1:$AD$2</definedName>
    <definedName name="Monat">INDIRECT("Daten!$P1:$P" &amp; COUNTA([2]Daten!$P:$P))</definedName>
    <definedName name="Monate">[3]Quelle!$A$2:$A$13</definedName>
    <definedName name="MonthsAndTotal">#REF!</definedName>
    <definedName name="Plan">INDIRECT("Daten!$J1:$J" &amp; COUNTA([2]Daten!$J:$J))</definedName>
    <definedName name="Planstand">[3]Quelle!$E$3:$E$9</definedName>
    <definedName name="_xlnm.Print_Area" localSheetId="0">'Price List '!$A$1:$AA$76</definedName>
    <definedName name="_xlnm.Print_Titles">#REF!</definedName>
    <definedName name="Produktionsländer">INDIRECT("Daten!$D1:$D" &amp; COUNTA([2]Daten!$D:$D))</definedName>
    <definedName name="Region">INDIRECT("Daten!$R1:$R" &amp; COUNTA([2]Daten!$R:$R))</definedName>
    <definedName name="RegionMarkup">INDIRECT("Daten!$T1:$T" &amp; COUNTA([2]Daten!$T:$T))</definedName>
    <definedName name="TM1REBUILDOPTION">1</definedName>
    <definedName name="Werke">INDIRECT("Daten!$L1:$L" &amp; COUNTA([2]Daten!$L:$L))</definedName>
    <definedName name="XXX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7" i="1" l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A49" i="1"/>
  <c r="Z49" i="1" s="1"/>
  <c r="Q75" i="1" l="1"/>
  <c r="AA17" i="1"/>
  <c r="AA14" i="1"/>
  <c r="AA13" i="1"/>
  <c r="Z56" i="1"/>
  <c r="AA57" i="1"/>
  <c r="Z57" i="1" s="1"/>
  <c r="X57" i="1"/>
  <c r="U57" i="1"/>
  <c r="T57" i="1" s="1"/>
  <c r="R57" i="1"/>
  <c r="O57" i="1"/>
  <c r="L57" i="1"/>
  <c r="I57" i="1"/>
  <c r="Z55" i="1"/>
  <c r="T120" i="1" l="1"/>
  <c r="Z44" i="1" l="1"/>
  <c r="Z43" i="1"/>
  <c r="Z41" i="1"/>
  <c r="Z42" i="1"/>
  <c r="Z46" i="1"/>
  <c r="Z45" i="1"/>
  <c r="Z17" i="1"/>
  <c r="Z14" i="1"/>
  <c r="Z13" i="1"/>
  <c r="AA31" i="1"/>
  <c r="AA30" i="1"/>
  <c r="AA36" i="1" l="1"/>
  <c r="AA40" i="1"/>
  <c r="Z30" i="1" l="1"/>
  <c r="Z16" i="1"/>
  <c r="Z18" i="1"/>
  <c r="Z19" i="1"/>
  <c r="Z21" i="1"/>
  <c r="Z25" i="1"/>
  <c r="Z24" i="1"/>
  <c r="Z26" i="1"/>
  <c r="Z28" i="1"/>
  <c r="Z27" i="1"/>
  <c r="Z29" i="1"/>
  <c r="Z31" i="1"/>
  <c r="Z33" i="1"/>
  <c r="Z36" i="1"/>
  <c r="Z34" i="1"/>
  <c r="Z37" i="1"/>
  <c r="Z38" i="1"/>
  <c r="Z40" i="1"/>
  <c r="Z47" i="1"/>
  <c r="Z48" i="1"/>
  <c r="Z50" i="1"/>
  <c r="Z51" i="1"/>
  <c r="Z35" i="1"/>
  <c r="Z53" i="1"/>
  <c r="Z58" i="1"/>
  <c r="Z59" i="1"/>
  <c r="Z62" i="1"/>
  <c r="Z65" i="1"/>
  <c r="Z60" i="1"/>
  <c r="Z66" i="1"/>
  <c r="Z63" i="1"/>
  <c r="Z15" i="1"/>
  <c r="Z9" i="1"/>
  <c r="Z8" i="1"/>
  <c r="AA68" i="1"/>
  <c r="Z68" i="1" s="1"/>
  <c r="AA64" i="1"/>
  <c r="Z64" i="1" s="1"/>
  <c r="AA70" i="1"/>
  <c r="Z70" i="1" s="1"/>
  <c r="AA67" i="1"/>
  <c r="Z67" i="1" s="1"/>
  <c r="AA71" i="1"/>
  <c r="Z71" i="1" s="1"/>
  <c r="AA61" i="1"/>
  <c r="Z61" i="1" s="1"/>
  <c r="AA69" i="1"/>
  <c r="Z69" i="1" s="1"/>
  <c r="AA32" i="1"/>
  <c r="Z32" i="1" s="1"/>
  <c r="AA52" i="1"/>
  <c r="Z52" i="1" s="1"/>
  <c r="AA54" i="1"/>
  <c r="Z54" i="1" s="1"/>
  <c r="AA39" i="1"/>
  <c r="Z39" i="1" s="1"/>
  <c r="AA22" i="1"/>
  <c r="Z22" i="1" s="1"/>
  <c r="AA23" i="1"/>
  <c r="Z23" i="1" s="1"/>
  <c r="AA12" i="1"/>
  <c r="Z12" i="1" s="1"/>
  <c r="AA11" i="1"/>
  <c r="Z11" i="1" s="1"/>
  <c r="AA10" i="1" l="1"/>
  <c r="Z10" i="1" s="1"/>
  <c r="T64" i="1" l="1"/>
  <c r="T68" i="1"/>
  <c r="U63" i="1" l="1"/>
  <c r="X9" i="1"/>
  <c r="X10" i="1"/>
  <c r="X11" i="1"/>
  <c r="X12" i="1"/>
  <c r="X15" i="1"/>
  <c r="X16" i="1"/>
  <c r="X18" i="1"/>
  <c r="X19" i="1"/>
  <c r="X20" i="1"/>
  <c r="X22" i="1"/>
  <c r="X23" i="1"/>
  <c r="X21" i="1"/>
  <c r="X25" i="1"/>
  <c r="X24" i="1"/>
  <c r="X26" i="1"/>
  <c r="X28" i="1"/>
  <c r="X27" i="1"/>
  <c r="X30" i="1"/>
  <c r="X29" i="1"/>
  <c r="X31" i="1"/>
  <c r="X32" i="1"/>
  <c r="X33" i="1"/>
  <c r="X36" i="1"/>
  <c r="X34" i="1"/>
  <c r="X39" i="1"/>
  <c r="X37" i="1"/>
  <c r="X38" i="1"/>
  <c r="X40" i="1"/>
  <c r="X47" i="1"/>
  <c r="X48" i="1"/>
  <c r="X50" i="1"/>
  <c r="X51" i="1"/>
  <c r="X35" i="1"/>
  <c r="X52" i="1"/>
  <c r="X54" i="1"/>
  <c r="X53" i="1"/>
  <c r="X58" i="1"/>
  <c r="X59" i="1"/>
  <c r="X61" i="1"/>
  <c r="X62" i="1"/>
  <c r="X65" i="1"/>
  <c r="X60" i="1"/>
  <c r="X66" i="1"/>
  <c r="X67" i="1"/>
  <c r="X69" i="1"/>
  <c r="X70" i="1"/>
  <c r="X71" i="1"/>
  <c r="X63" i="1"/>
  <c r="X68" i="1"/>
  <c r="X64" i="1"/>
  <c r="X8" i="1"/>
  <c r="I71" i="1"/>
  <c r="I36" i="1"/>
  <c r="I66" i="1"/>
  <c r="I67" i="1"/>
  <c r="I62" i="1"/>
  <c r="I26" i="1"/>
  <c r="I38" i="1"/>
  <c r="I39" i="1"/>
  <c r="I40" i="1"/>
  <c r="I59" i="1"/>
  <c r="I60" i="1"/>
  <c r="I8" i="1"/>
  <c r="I54" i="1"/>
  <c r="I52" i="1"/>
  <c r="I9" i="1"/>
  <c r="I21" i="1"/>
  <c r="I27" i="1"/>
  <c r="I53" i="1"/>
  <c r="I70" i="1"/>
  <c r="I29" i="1"/>
  <c r="I48" i="1"/>
  <c r="I58" i="1"/>
  <c r="I16" i="1"/>
  <c r="I15" i="1"/>
  <c r="I18" i="1"/>
  <c r="I32" i="1"/>
  <c r="I25" i="1"/>
  <c r="I28" i="1"/>
  <c r="I19" i="1"/>
  <c r="I20" i="1"/>
  <c r="I24" i="1"/>
  <c r="I47" i="1"/>
  <c r="I35" i="1"/>
  <c r="I50" i="1"/>
  <c r="I51" i="1"/>
  <c r="I65" i="1"/>
  <c r="I10" i="1"/>
  <c r="I11" i="1"/>
  <c r="I12" i="1"/>
  <c r="I22" i="1"/>
  <c r="I23" i="1"/>
  <c r="I30" i="1"/>
  <c r="I31" i="1"/>
  <c r="I33" i="1"/>
  <c r="I34" i="1"/>
  <c r="I37" i="1"/>
  <c r="I61" i="1"/>
  <c r="I69" i="1"/>
  <c r="R61" i="1" l="1"/>
  <c r="R69" i="1"/>
  <c r="R71" i="1"/>
  <c r="R52" i="1"/>
  <c r="R54" i="1"/>
  <c r="R11" i="1"/>
  <c r="R12" i="1"/>
  <c r="R21" i="1"/>
  <c r="R27" i="1"/>
  <c r="R53" i="1"/>
  <c r="R36" i="1"/>
  <c r="R70" i="1"/>
  <c r="R29" i="1"/>
  <c r="R48" i="1"/>
  <c r="R66" i="1"/>
  <c r="R67" i="1"/>
  <c r="R58" i="1"/>
  <c r="R62" i="1"/>
  <c r="R34" i="1"/>
  <c r="R37" i="1"/>
  <c r="U40" i="1"/>
  <c r="T40" i="1" s="1"/>
  <c r="U39" i="1"/>
  <c r="T39" i="1" s="1"/>
  <c r="O65" i="1" l="1"/>
  <c r="O59" i="1"/>
  <c r="O35" i="1"/>
  <c r="O51" i="1"/>
  <c r="O50" i="1"/>
  <c r="O47" i="1"/>
  <c r="O38" i="1"/>
  <c r="O24" i="1"/>
  <c r="O20" i="1"/>
  <c r="O19" i="1"/>
  <c r="L59" i="1"/>
  <c r="L35" i="1"/>
  <c r="L51" i="1"/>
  <c r="L50" i="1"/>
  <c r="L47" i="1"/>
  <c r="L24" i="1"/>
  <c r="L20" i="1"/>
  <c r="L19" i="1"/>
  <c r="L65" i="1" l="1"/>
  <c r="L38" i="1" l="1"/>
  <c r="L54" i="1"/>
  <c r="O36" i="1" l="1"/>
  <c r="O62" i="1"/>
  <c r="L31" i="1"/>
  <c r="L33" i="1"/>
  <c r="L8" i="1"/>
  <c r="L9" i="1"/>
  <c r="L10" i="1"/>
  <c r="L11" i="1"/>
  <c r="L12" i="1"/>
  <c r="L21" i="1"/>
  <c r="L27" i="1"/>
  <c r="L53" i="1"/>
  <c r="L36" i="1"/>
  <c r="L70" i="1"/>
  <c r="L29" i="1"/>
  <c r="L48" i="1"/>
  <c r="L66" i="1"/>
  <c r="L67" i="1"/>
  <c r="L58" i="1"/>
  <c r="L62" i="1"/>
  <c r="L34" i="1"/>
  <c r="L37" i="1"/>
  <c r="L60" i="1"/>
  <c r="L61" i="1"/>
  <c r="L69" i="1"/>
  <c r="L71" i="1"/>
  <c r="L52" i="1"/>
  <c r="L30" i="1"/>
  <c r="L15" i="1"/>
  <c r="L18" i="1"/>
  <c r="L32" i="1"/>
  <c r="L25" i="1"/>
  <c r="L26" i="1"/>
  <c r="L28" i="1"/>
  <c r="L22" i="1"/>
  <c r="L23" i="1"/>
  <c r="L16" i="1"/>
  <c r="O18" i="1"/>
  <c r="O25" i="1"/>
  <c r="O28" i="1"/>
  <c r="O22" i="1"/>
  <c r="O30" i="1"/>
  <c r="O31" i="1"/>
  <c r="O8" i="1"/>
  <c r="O9" i="1"/>
  <c r="O10" i="1"/>
  <c r="O12" i="1"/>
  <c r="O21" i="1"/>
  <c r="O27" i="1"/>
  <c r="O53" i="1"/>
  <c r="O29" i="1"/>
  <c r="O48" i="1"/>
  <c r="O66" i="1"/>
  <c r="O67" i="1"/>
  <c r="O58" i="1"/>
  <c r="O34" i="1"/>
  <c r="O37" i="1"/>
  <c r="O60" i="1"/>
  <c r="O61" i="1"/>
  <c r="O69" i="1"/>
  <c r="O71" i="1"/>
  <c r="O52" i="1"/>
  <c r="O54" i="1"/>
  <c r="O16" i="1"/>
  <c r="O23" i="1" l="1"/>
  <c r="O26" i="1"/>
  <c r="O70" i="1"/>
  <c r="O33" i="1"/>
  <c r="O15" i="1"/>
  <c r="O11" i="1"/>
  <c r="O32" i="1"/>
  <c r="U36" i="1"/>
  <c r="T36" i="1" s="1"/>
  <c r="U37" i="1"/>
  <c r="T37" i="1" s="1"/>
  <c r="U34" i="1"/>
  <c r="T34" i="1" s="1"/>
  <c r="U31" i="1"/>
  <c r="T31" i="1" s="1"/>
  <c r="R31" i="1"/>
  <c r="U48" i="1"/>
  <c r="T48" i="1" s="1"/>
  <c r="U21" i="1"/>
  <c r="T21" i="1" s="1"/>
  <c r="U29" i="1"/>
  <c r="T29" i="1" s="1"/>
  <c r="R32" i="1"/>
  <c r="U32" i="1"/>
  <c r="T32" i="1" s="1"/>
  <c r="U16" i="1" l="1"/>
  <c r="T16" i="1" s="1"/>
  <c r="R16" i="1"/>
  <c r="U15" i="1"/>
  <c r="T15" i="1" s="1"/>
  <c r="R15" i="1"/>
  <c r="U67" i="1"/>
  <c r="T67" i="1" s="1"/>
  <c r="U71" i="1"/>
  <c r="T71" i="1" s="1"/>
  <c r="U12" i="1"/>
  <c r="T12" i="1" s="1"/>
  <c r="U33" i="1"/>
  <c r="T33" i="1" s="1"/>
  <c r="R33" i="1"/>
  <c r="U60" i="1"/>
  <c r="T60" i="1" s="1"/>
  <c r="R60" i="1"/>
  <c r="U23" i="1" l="1"/>
  <c r="T23" i="1" s="1"/>
  <c r="R23" i="1"/>
  <c r="U9" i="1"/>
  <c r="T9" i="1" s="1"/>
  <c r="R9" i="1"/>
  <c r="U28" i="1"/>
  <c r="T28" i="1" s="1"/>
  <c r="R28" i="1"/>
  <c r="U52" i="1"/>
  <c r="T52" i="1" s="1"/>
  <c r="U25" i="1"/>
  <c r="T25" i="1" s="1"/>
  <c r="R25" i="1"/>
  <c r="U58" i="1"/>
  <c r="T58" i="1" s="1"/>
  <c r="R10" i="1"/>
  <c r="U10" i="1"/>
  <c r="T10" i="1" s="1"/>
  <c r="U8" i="1"/>
  <c r="T8" i="1" s="1"/>
  <c r="R8" i="1"/>
  <c r="U18" i="1"/>
  <c r="T18" i="1" s="1"/>
  <c r="R18" i="1"/>
  <c r="U69" i="1"/>
  <c r="T69" i="1" s="1"/>
  <c r="U70" i="1"/>
  <c r="T70" i="1" s="1"/>
  <c r="U26" i="1"/>
  <c r="T26" i="1" s="1"/>
  <c r="R26" i="1"/>
  <c r="U27" i="1"/>
  <c r="T27" i="1" s="1"/>
  <c r="U61" i="1"/>
  <c r="T61" i="1" s="1"/>
  <c r="U66" i="1"/>
  <c r="T66" i="1" s="1"/>
  <c r="U62" i="1"/>
  <c r="T62" i="1" s="1"/>
  <c r="U53" i="1"/>
  <c r="T53" i="1" s="1"/>
  <c r="U22" i="1"/>
  <c r="T22" i="1" s="1"/>
  <c r="R22" i="1"/>
  <c r="U11" i="1"/>
  <c r="T11" i="1" s="1"/>
  <c r="U30" i="1"/>
  <c r="T30" i="1" s="1"/>
  <c r="R30" i="1"/>
  <c r="U54" i="1" l="1"/>
  <c r="T54" i="1" s="1"/>
  <c r="Q59" i="1" l="1"/>
  <c r="R59" i="1" s="1"/>
  <c r="Q35" i="1"/>
  <c r="R35" i="1" s="1"/>
  <c r="Q51" i="1"/>
  <c r="R51" i="1" s="1"/>
  <c r="Q50" i="1"/>
  <c r="R50" i="1" s="1"/>
  <c r="Q47" i="1"/>
  <c r="R47" i="1" s="1"/>
  <c r="Q38" i="1"/>
  <c r="R38" i="1" s="1"/>
  <c r="Q24" i="1"/>
  <c r="R24" i="1" s="1"/>
  <c r="Q20" i="1"/>
  <c r="R20" i="1" s="1"/>
  <c r="Q19" i="1"/>
  <c r="R19" i="1" s="1"/>
  <c r="Q65" i="1"/>
  <c r="R65" i="1" s="1"/>
  <c r="U20" i="1" l="1"/>
  <c r="U59" i="1"/>
  <c r="U24" i="1"/>
  <c r="U65" i="1"/>
  <c r="U35" i="1"/>
  <c r="U51" i="1"/>
  <c r="U19" i="1"/>
  <c r="U38" i="1"/>
  <c r="U47" i="1"/>
  <c r="U50" i="1"/>
  <c r="Z20" i="1" l="1"/>
</calcChain>
</file>

<file path=xl/sharedStrings.xml><?xml version="1.0" encoding="utf-8"?>
<sst xmlns="http://schemas.openxmlformats.org/spreadsheetml/2006/main" count="408" uniqueCount="169">
  <si>
    <t>Mercedes-Benz India Private Limited</t>
  </si>
  <si>
    <t>Price List ( Jan'25 to Apr'26)</t>
  </si>
  <si>
    <t>1st Jan 2025</t>
  </si>
  <si>
    <t>1st March 2025</t>
  </si>
  <si>
    <t>6th June 2025</t>
  </si>
  <si>
    <t>1st Sept 2025 (Pre-GST)</t>
  </si>
  <si>
    <t>22nd Sept 2025 (Post-GST)</t>
  </si>
  <si>
    <t>1st Feb 2026</t>
  </si>
  <si>
    <t>1st April 2026</t>
  </si>
  <si>
    <t>Sector</t>
  </si>
  <si>
    <t>Type Class</t>
  </si>
  <si>
    <t>B.U.</t>
  </si>
  <si>
    <t>PT</t>
  </si>
  <si>
    <t>Kufri Model</t>
  </si>
  <si>
    <t xml:space="preserve">Model </t>
  </si>
  <si>
    <t>GST</t>
  </si>
  <si>
    <t>Ex-Factory</t>
  </si>
  <si>
    <t xml:space="preserve">Ex Showroom </t>
  </si>
  <si>
    <t>New GST</t>
  </si>
  <si>
    <t>Ex-Showroom</t>
  </si>
  <si>
    <t>Check</t>
  </si>
  <si>
    <t>Entry</t>
  </si>
  <si>
    <t>V177_CKD</t>
  </si>
  <si>
    <t>CKD</t>
  </si>
  <si>
    <t>ICE</t>
  </si>
  <si>
    <t xml:space="preserve">A200 </t>
  </si>
  <si>
    <t>A 200</t>
  </si>
  <si>
    <t xml:space="preserve">A200d </t>
  </si>
  <si>
    <t>A 200d</t>
  </si>
  <si>
    <t>H247_CKD</t>
  </si>
  <si>
    <t xml:space="preserve">GLA200 </t>
  </si>
  <si>
    <t>GLA 200</t>
  </si>
  <si>
    <t>GLA 220d 4MATIC</t>
  </si>
  <si>
    <t xml:space="preserve">GLA220D4M </t>
  </si>
  <si>
    <t>GLA 220d 4MATIC AMG Line</t>
  </si>
  <si>
    <t>C174</t>
  </si>
  <si>
    <t>CBU</t>
  </si>
  <si>
    <t>EQ</t>
  </si>
  <si>
    <t>CLA 200</t>
  </si>
  <si>
    <t>CLA 250+ AMG Line</t>
  </si>
  <si>
    <t>Core</t>
  </si>
  <si>
    <t>W206_CKD</t>
  </si>
  <si>
    <t>C220D</t>
  </si>
  <si>
    <t>C 220d</t>
  </si>
  <si>
    <t>C200</t>
  </si>
  <si>
    <t>C 200</t>
  </si>
  <si>
    <t>CLA 250+ Launch Edition</t>
  </si>
  <si>
    <t>C300</t>
  </si>
  <si>
    <t>C 300 AMG Line</t>
  </si>
  <si>
    <t>H243</t>
  </si>
  <si>
    <t>EQA 250+</t>
  </si>
  <si>
    <t>X243</t>
  </si>
  <si>
    <t>EQB 250+</t>
  </si>
  <si>
    <t>TEV</t>
  </si>
  <si>
    <t>W177</t>
  </si>
  <si>
    <t>AMGA45S</t>
  </si>
  <si>
    <t>AMG A 45 S 4MATIC+ Limited Edition</t>
  </si>
  <si>
    <t>X254_CKD</t>
  </si>
  <si>
    <t>GLC220d4M</t>
  </si>
  <si>
    <t>GLC 220d 4MATIC</t>
  </si>
  <si>
    <t xml:space="preserve">GLC3004M </t>
  </si>
  <si>
    <t>GLC 300 4MATIC</t>
  </si>
  <si>
    <t>EQB 350</t>
  </si>
  <si>
    <t>EQB 350 4MATIC</t>
  </si>
  <si>
    <t>V214_CKD</t>
  </si>
  <si>
    <t>E200</t>
  </si>
  <si>
    <t>E 200</t>
  </si>
  <si>
    <t>E220d</t>
  </si>
  <si>
    <t>E 220d</t>
  </si>
  <si>
    <t>W206</t>
  </si>
  <si>
    <t>AMG C43</t>
  </si>
  <si>
    <t>AMG C 43 4MATIC</t>
  </si>
  <si>
    <t>E450</t>
  </si>
  <si>
    <t>E 450 4MATIC AMG Line</t>
  </si>
  <si>
    <t>C254</t>
  </si>
  <si>
    <t>AMGGLC</t>
  </si>
  <si>
    <t>AMG GLC 43 4MATIC Coupé</t>
  </si>
  <si>
    <t>V167_CKD</t>
  </si>
  <si>
    <t xml:space="preserve">GLE300d4M LWB </t>
  </si>
  <si>
    <t>GLE 300d 4MATIC AMG Line</t>
  </si>
  <si>
    <t xml:space="preserve">GLE4504M LWB </t>
  </si>
  <si>
    <t>GLE 450 4MATIC AMG Line</t>
  </si>
  <si>
    <t>A236</t>
  </si>
  <si>
    <t>CLE300</t>
  </si>
  <si>
    <t>CLE 300 Cabriolet 4MATIC</t>
  </si>
  <si>
    <t xml:space="preserve">GLE450d4M LWB </t>
  </si>
  <si>
    <t>GLE 450d 4MATIC AMG Line</t>
  </si>
  <si>
    <t>X167_CKD</t>
  </si>
  <si>
    <t>GLS 450 4MATIC</t>
  </si>
  <si>
    <t>V297_CKD</t>
  </si>
  <si>
    <t>EQS</t>
  </si>
  <si>
    <t>EQS 580 4MATIC</t>
  </si>
  <si>
    <t>C 236</t>
  </si>
  <si>
    <t>AMG CLE Coupe</t>
  </si>
  <si>
    <t xml:space="preserve">GLS450D 4M </t>
  </si>
  <si>
    <t>GLS 450d 4MATIC</t>
  </si>
  <si>
    <t>X296</t>
  </si>
  <si>
    <t>EQS SUV 450 4matic</t>
  </si>
  <si>
    <t>EQS SUV 450 4MATIC</t>
  </si>
  <si>
    <t xml:space="preserve">GLS450 4M </t>
  </si>
  <si>
    <t>GLS 450 4MATIC AMG Line</t>
  </si>
  <si>
    <t>GLS 450d 4MATIC AMG Line</t>
  </si>
  <si>
    <t>GLS 450 4MATIC Special Edition</t>
  </si>
  <si>
    <t>GLS 450d 4MATIC Special Edition</t>
  </si>
  <si>
    <t>GLE 300D Night Editon</t>
  </si>
  <si>
    <t>GLE 450 Night Edition</t>
  </si>
  <si>
    <t>VS20</t>
  </si>
  <si>
    <t>V300</t>
  </si>
  <si>
    <t>V300d</t>
  </si>
  <si>
    <t>X294</t>
  </si>
  <si>
    <t>EQE-SUV</t>
  </si>
  <si>
    <t>EQE SUV 500 4MATIC</t>
  </si>
  <si>
    <t>C167</t>
  </si>
  <si>
    <t>AMGGLE53 4M+</t>
  </si>
  <si>
    <t>AMG GLE 53 4MATIC Coupé</t>
  </si>
  <si>
    <t>W214</t>
  </si>
  <si>
    <t>AMG E53 Hybrid</t>
  </si>
  <si>
    <t>EQS SUV 580 4matic</t>
  </si>
  <si>
    <t>EQS SUV 580 4MATIC 5 Seater</t>
  </si>
  <si>
    <t>EQS SUV 580 4MATIC 7 Seater</t>
  </si>
  <si>
    <t>W/V223_CKD</t>
  </si>
  <si>
    <t>S350D</t>
  </si>
  <si>
    <t>S 350d (With Nappa Leather)*</t>
  </si>
  <si>
    <t>AMG C 63 S E PERFORMANCE</t>
  </si>
  <si>
    <t>S4504M</t>
  </si>
  <si>
    <t>S 450 4MATIC (With Nappa Leather)*</t>
  </si>
  <si>
    <t>V223_CKD</t>
  </si>
  <si>
    <t>S 450e</t>
  </si>
  <si>
    <t>S 450e Launch Edition</t>
  </si>
  <si>
    <t>R232</t>
  </si>
  <si>
    <t>AMG SL 55 4M+</t>
  </si>
  <si>
    <t>AMG SL 55 4MATIC+</t>
  </si>
  <si>
    <t>Z296</t>
  </si>
  <si>
    <t>EQS SUV Maybach</t>
  </si>
  <si>
    <t xml:space="preserve">Maybach EQS SUV 680 </t>
  </si>
  <si>
    <t>X167</t>
  </si>
  <si>
    <t>GLS600</t>
  </si>
  <si>
    <t>Maybach GLS 600</t>
  </si>
  <si>
    <t>Z223_CKD</t>
  </si>
  <si>
    <t>S5804M Maybach</t>
  </si>
  <si>
    <t xml:space="preserve">Maybach S 580 </t>
  </si>
  <si>
    <t>C 192</t>
  </si>
  <si>
    <t>AMGGT</t>
  </si>
  <si>
    <t>W465</t>
  </si>
  <si>
    <t>G450D</t>
  </si>
  <si>
    <t>C192</t>
  </si>
  <si>
    <t>AMGGT63</t>
  </si>
  <si>
    <t>AMG GT 63</t>
  </si>
  <si>
    <t>N465</t>
  </si>
  <si>
    <t>G580EQ</t>
  </si>
  <si>
    <t>G580</t>
  </si>
  <si>
    <t>X290</t>
  </si>
  <si>
    <t>AMGGT63S4M+</t>
  </si>
  <si>
    <t>AMG GT 63 S E PERFORMANCE</t>
  </si>
  <si>
    <t>V223</t>
  </si>
  <si>
    <t>AMG S 63 SE Performance</t>
  </si>
  <si>
    <t xml:space="preserve">AMG S 63 E PERFORMANCE </t>
  </si>
  <si>
    <t>AMGGTR PRO</t>
  </si>
  <si>
    <t>AMG GT 63 Pro</t>
  </si>
  <si>
    <t xml:space="preserve">Z223 </t>
  </si>
  <si>
    <t>S680XL</t>
  </si>
  <si>
    <t>Maybach S 680</t>
  </si>
  <si>
    <t>AMGG63</t>
  </si>
  <si>
    <t>AMG G 63</t>
  </si>
  <si>
    <t>Z232</t>
  </si>
  <si>
    <t>SL 680</t>
  </si>
  <si>
    <t>Maybach SL 680 Monogram</t>
  </si>
  <si>
    <r>
      <t>* S450 4Matic in</t>
    </r>
    <r>
      <rPr>
        <b/>
        <sz val="16"/>
        <color theme="1"/>
        <rFont val="CorpoS"/>
      </rPr>
      <t xml:space="preserve"> March </t>
    </r>
    <r>
      <rPr>
        <sz val="16"/>
        <color theme="1"/>
        <rFont val="CorpoS"/>
      </rPr>
      <t>price list is without Nappa Leather</t>
    </r>
  </si>
  <si>
    <r>
      <t xml:space="preserve">* S 350 D in </t>
    </r>
    <r>
      <rPr>
        <b/>
        <sz val="16"/>
        <color theme="1"/>
        <rFont val="CorpoS"/>
      </rPr>
      <t>Jan</t>
    </r>
    <r>
      <rPr>
        <sz val="16"/>
        <color theme="1"/>
        <rFont val="CorpoS"/>
      </rPr>
      <t xml:space="preserve"> price list is without Nappa Leather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</si>
</sst>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%"/>
    <numFmt numFmtId="165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orpoS"/>
    </font>
    <font>
      <sz val="14"/>
      <color theme="1"/>
      <name val="CorpoS"/>
    </font>
    <font>
      <b/>
      <sz val="11"/>
      <color theme="1"/>
      <name val="CorpoS"/>
    </font>
    <font>
      <b/>
      <sz val="14"/>
      <color theme="0"/>
      <name val="CorpoS"/>
    </font>
    <font>
      <b/>
      <sz val="14"/>
      <color theme="1"/>
      <name val="CorpoS"/>
    </font>
    <font>
      <sz val="14"/>
      <color theme="3" tint="-0.499984740745262"/>
      <name val="CorpoS"/>
    </font>
    <font>
      <sz val="14"/>
      <name val="CorpoS"/>
    </font>
    <font>
      <sz val="11"/>
      <name val="CorpoS"/>
    </font>
    <font>
      <b/>
      <sz val="16"/>
      <color theme="1"/>
      <name val="CorpoS"/>
    </font>
    <font>
      <sz val="16"/>
      <color theme="1"/>
      <name val="CorpoS"/>
    </font>
    <font>
      <b/>
      <sz val="18"/>
      <color theme="1"/>
      <name val="CorpoS"/>
    </font>
    <font>
      <b/>
      <sz val="20"/>
      <color theme="1"/>
      <name val="CorpoS"/>
    </font>
    <font>
      <sz val="14"/>
      <name val="Arial"/>
      <family val="2"/>
    </font>
    <font>
      <sz val="14"/>
      <color theme="7" tint="-0.249977111117893"/>
      <name val="CorpoS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top"/>
    </xf>
    <xf numFmtId="165" fontId="2" fillId="2" borderId="0" xfId="1" applyNumberFormat="1" applyFont="1" applyFill="1"/>
    <xf numFmtId="9" fontId="2" fillId="2" borderId="0" xfId="2" applyFont="1" applyFill="1" applyBorder="1" applyAlignment="1">
      <alignment horizontal="center"/>
    </xf>
    <xf numFmtId="0" fontId="3" fillId="2" borderId="0" xfId="0" applyFont="1" applyFill="1"/>
    <xf numFmtId="165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2" fillId="2" borderId="0" xfId="2" applyNumberFormat="1" applyFont="1" applyFill="1" applyBorder="1" applyAlignment="1">
      <alignment horizontal="center"/>
    </xf>
    <xf numFmtId="9" fontId="2" fillId="2" borderId="0" xfId="2" applyFont="1" applyFill="1" applyBorder="1"/>
    <xf numFmtId="9" fontId="2" fillId="2" borderId="0" xfId="2" applyFont="1" applyFill="1"/>
    <xf numFmtId="0" fontId="9" fillId="2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9" fontId="7" fillId="0" borderId="1" xfId="2" applyFont="1" applyFill="1" applyBorder="1" applyAlignment="1">
      <alignment horizontal="center" vertical="center"/>
    </xf>
    <xf numFmtId="165" fontId="7" fillId="0" borderId="1" xfId="1" applyNumberFormat="1" applyFont="1" applyFill="1" applyBorder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9" fontId="8" fillId="0" borderId="1" xfId="2" applyFont="1" applyFill="1" applyBorder="1" applyAlignment="1">
      <alignment horizontal="center" vertical="center"/>
    </xf>
    <xf numFmtId="9" fontId="7" fillId="0" borderId="1" xfId="2" applyFont="1" applyBorder="1" applyAlignment="1">
      <alignment horizontal="center" vertical="top"/>
    </xf>
    <xf numFmtId="9" fontId="8" fillId="0" borderId="1" xfId="2" applyFont="1" applyBorder="1" applyAlignment="1">
      <alignment horizontal="center" vertical="top"/>
    </xf>
    <xf numFmtId="165" fontId="7" fillId="0" borderId="1" xfId="1" applyNumberFormat="1" applyFont="1" applyBorder="1" applyAlignment="1">
      <alignment horizontal="left" vertical="top"/>
    </xf>
    <xf numFmtId="165" fontId="7" fillId="0" borderId="1" xfId="0" applyNumberFormat="1" applyFont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 vertical="top"/>
    </xf>
    <xf numFmtId="165" fontId="3" fillId="2" borderId="1" xfId="1" applyNumberFormat="1" applyFont="1" applyFill="1" applyBorder="1" applyAlignment="1">
      <alignment horizontal="center"/>
    </xf>
    <xf numFmtId="165" fontId="3" fillId="2" borderId="1" xfId="1" applyNumberFormat="1" applyFont="1" applyFill="1" applyBorder="1" applyAlignment="1">
      <alignment horizontal="center" vertical="top"/>
    </xf>
    <xf numFmtId="0" fontId="11" fillId="2" borderId="0" xfId="0" applyFont="1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165" fontId="3" fillId="0" borderId="1" xfId="1" applyNumberFormat="1" applyFont="1" applyBorder="1" applyAlignment="1">
      <alignment horizontal="left" vertical="top"/>
    </xf>
    <xf numFmtId="9" fontId="3" fillId="0" borderId="1" xfId="2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9" fontId="3" fillId="2" borderId="1" xfId="2" applyFont="1" applyFill="1" applyBorder="1" applyAlignment="1">
      <alignment horizontal="center" vertical="top"/>
    </xf>
    <xf numFmtId="9" fontId="3" fillId="0" borderId="1" xfId="2" applyFont="1" applyBorder="1" applyAlignment="1">
      <alignment horizontal="center" vertical="top"/>
    </xf>
    <xf numFmtId="0" fontId="4" fillId="2" borderId="0" xfId="0" applyFont="1" applyFill="1" applyAlignment="1">
      <alignment horizontal="center" vertical="center" wrapText="1"/>
    </xf>
    <xf numFmtId="0" fontId="12" fillId="2" borderId="0" xfId="0" applyFont="1" applyFill="1"/>
    <xf numFmtId="0" fontId="13" fillId="2" borderId="0" xfId="0" applyFont="1" applyFill="1" applyAlignment="1">
      <alignment vertical="top"/>
    </xf>
    <xf numFmtId="43" fontId="7" fillId="0" borderId="1" xfId="1" applyFont="1" applyBorder="1" applyAlignment="1">
      <alignment horizontal="center" vertical="top"/>
    </xf>
    <xf numFmtId="165" fontId="3" fillId="2" borderId="1" xfId="0" applyNumberFormat="1" applyFont="1" applyFill="1" applyBorder="1" applyAlignment="1">
      <alignment vertical="center"/>
    </xf>
    <xf numFmtId="165" fontId="8" fillId="0" borderId="1" xfId="1" applyNumberFormat="1" applyFont="1" applyBorder="1" applyAlignment="1">
      <alignment horizontal="left" vertical="top"/>
    </xf>
    <xf numFmtId="165" fontId="8" fillId="0" borderId="1" xfId="0" applyNumberFormat="1" applyFont="1" applyBorder="1" applyAlignment="1">
      <alignment horizontal="left" vertical="top"/>
    </xf>
    <xf numFmtId="165" fontId="8" fillId="2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top"/>
    </xf>
    <xf numFmtId="9" fontId="8" fillId="2" borderId="1" xfId="2" applyFont="1" applyFill="1" applyBorder="1" applyAlignment="1">
      <alignment horizontal="center" vertical="top"/>
    </xf>
    <xf numFmtId="9" fontId="8" fillId="2" borderId="1" xfId="0" applyNumberFormat="1" applyFont="1" applyFill="1" applyBorder="1" applyAlignment="1">
      <alignment horizontal="center" vertical="top"/>
    </xf>
    <xf numFmtId="165" fontId="8" fillId="2" borderId="1" xfId="1" applyNumberFormat="1" applyFont="1" applyFill="1" applyBorder="1" applyAlignment="1">
      <alignment horizontal="center" vertical="top"/>
    </xf>
    <xf numFmtId="165" fontId="8" fillId="2" borderId="1" xfId="1" applyNumberFormat="1" applyFont="1" applyFill="1" applyBorder="1" applyAlignment="1">
      <alignment horizontal="center"/>
    </xf>
    <xf numFmtId="43" fontId="7" fillId="0" borderId="1" xfId="1" applyFont="1" applyBorder="1" applyAlignment="1">
      <alignment horizontal="left" vertical="top"/>
    </xf>
    <xf numFmtId="43" fontId="7" fillId="0" borderId="1" xfId="1" applyFont="1" applyFill="1" applyBorder="1" applyAlignment="1">
      <alignment horizontal="center" vertical="center"/>
    </xf>
    <xf numFmtId="43" fontId="8" fillId="0" borderId="1" xfId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165" fontId="3" fillId="2" borderId="7" xfId="1" applyNumberFormat="1" applyFont="1" applyFill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165" fontId="8" fillId="2" borderId="7" xfId="1" applyNumberFormat="1" applyFont="1" applyFill="1" applyBorder="1" applyAlignment="1">
      <alignment vertical="center"/>
    </xf>
    <xf numFmtId="0" fontId="3" fillId="2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top"/>
    </xf>
    <xf numFmtId="9" fontId="7" fillId="0" borderId="10" xfId="2" applyFont="1" applyBorder="1" applyAlignment="1">
      <alignment horizontal="center" vertical="top"/>
    </xf>
    <xf numFmtId="165" fontId="7" fillId="0" borderId="10" xfId="1" applyNumberFormat="1" applyFont="1" applyBorder="1" applyAlignment="1">
      <alignment horizontal="left" vertical="top"/>
    </xf>
    <xf numFmtId="9" fontId="8" fillId="0" borderId="10" xfId="2" applyFont="1" applyFill="1" applyBorder="1" applyAlignment="1">
      <alignment horizontal="center" vertical="center"/>
    </xf>
    <xf numFmtId="165" fontId="7" fillId="0" borderId="10" xfId="0" applyNumberFormat="1" applyFont="1" applyBorder="1" applyAlignment="1">
      <alignment horizontal="left" vertical="top"/>
    </xf>
    <xf numFmtId="9" fontId="7" fillId="0" borderId="10" xfId="2" applyFont="1" applyFill="1" applyBorder="1" applyAlignment="1">
      <alignment horizontal="center" vertical="center"/>
    </xf>
    <xf numFmtId="165" fontId="7" fillId="0" borderId="10" xfId="1" applyNumberFormat="1" applyFont="1" applyFill="1" applyBorder="1" applyAlignment="1">
      <alignment horizontal="center" vertical="center"/>
    </xf>
    <xf numFmtId="165" fontId="8" fillId="0" borderId="10" xfId="1" applyNumberFormat="1" applyFont="1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vertical="center"/>
    </xf>
    <xf numFmtId="165" fontId="3" fillId="2" borderId="11" xfId="1" applyNumberFormat="1" applyFont="1" applyFill="1" applyBorder="1" applyAlignment="1">
      <alignment vertical="center"/>
    </xf>
    <xf numFmtId="9" fontId="5" fillId="3" borderId="4" xfId="2" applyFont="1" applyFill="1" applyBorder="1" applyAlignment="1">
      <alignment horizontal="center" vertical="center" wrapText="1"/>
    </xf>
    <xf numFmtId="165" fontId="5" fillId="3" borderId="4" xfId="1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43" fontId="3" fillId="0" borderId="1" xfId="1" applyFont="1" applyBorder="1" applyAlignment="1">
      <alignment vertical="top"/>
    </xf>
    <xf numFmtId="43" fontId="7" fillId="0" borderId="1" xfId="1" applyFont="1" applyBorder="1" applyAlignment="1">
      <alignment vertical="top"/>
    </xf>
    <xf numFmtId="43" fontId="3" fillId="0" borderId="1" xfId="1" applyFont="1" applyFill="1" applyBorder="1" applyAlignment="1">
      <alignment vertical="center"/>
    </xf>
    <xf numFmtId="43" fontId="7" fillId="0" borderId="1" xfId="1" applyFont="1" applyFill="1" applyBorder="1" applyAlignment="1">
      <alignment vertical="center"/>
    </xf>
    <xf numFmtId="4" fontId="14" fillId="0" borderId="0" xfId="0" applyNumberFormat="1" applyFont="1"/>
    <xf numFmtId="165" fontId="0" fillId="0" borderId="0" xfId="1" applyNumberFormat="1" applyFont="1"/>
    <xf numFmtId="165" fontId="0" fillId="0" borderId="0" xfId="0" applyNumberFormat="1"/>
    <xf numFmtId="0" fontId="15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/>
    </xf>
    <xf numFmtId="165" fontId="15" fillId="0" borderId="1" xfId="1" applyNumberFormat="1" applyFont="1" applyBorder="1" applyAlignment="1">
      <alignment horizontal="center" vertical="top"/>
    </xf>
    <xf numFmtId="165" fontId="15" fillId="0" borderId="1" xfId="1" applyNumberFormat="1" applyFont="1" applyBorder="1" applyAlignment="1">
      <alignment horizontal="left" vertical="top"/>
    </xf>
    <xf numFmtId="165" fontId="15" fillId="0" borderId="1" xfId="1" applyNumberFormat="1" applyFont="1" applyFill="1" applyBorder="1" applyAlignment="1">
      <alignment horizontal="center" vertical="center"/>
    </xf>
    <xf numFmtId="9" fontId="15" fillId="0" borderId="1" xfId="2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vertical="center"/>
    </xf>
    <xf numFmtId="165" fontId="15" fillId="2" borderId="7" xfId="1" applyNumberFormat="1" applyFont="1" applyFill="1" applyBorder="1" applyAlignment="1">
      <alignment vertical="center"/>
    </xf>
    <xf numFmtId="3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horizontal="left" vertical="top"/>
    </xf>
    <xf numFmtId="17" fontId="5" fillId="10" borderId="2" xfId="0" applyNumberFormat="1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17" fontId="6" fillId="9" borderId="2" xfId="0" applyNumberFormat="1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9" fontId="2" fillId="2" borderId="0" xfId="2" applyFont="1" applyFill="1" applyBorder="1" applyAlignment="1">
      <alignment horizontal="center"/>
    </xf>
    <xf numFmtId="14" fontId="6" fillId="5" borderId="2" xfId="0" applyNumberFormat="1" applyFont="1" applyFill="1" applyBorder="1" applyAlignment="1">
      <alignment horizontal="center"/>
    </xf>
    <xf numFmtId="14" fontId="6" fillId="6" borderId="2" xfId="0" applyNumberFormat="1" applyFont="1" applyFill="1" applyBorder="1" applyAlignment="1">
      <alignment horizontal="center"/>
    </xf>
    <xf numFmtId="17" fontId="5" fillId="7" borderId="2" xfId="0" applyNumberFormat="1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17" fontId="6" fillId="8" borderId="2" xfId="0" applyNumberFormat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">
    <dxf>
      <fill>
        <patternFill>
          <bgColor theme="0" tint="-0.14996795556505021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185f0024\FCR\TEMP\C.notes.data\Target%20Shee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am.sp.wp.corpintra.net/sites/01866/Documents/VP%20InfoBase/25%20KUFRI%20Tools/10%20NewKAT_v1.4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KUFRI\KUFRI%202017\KUFRI%2011_2017\PABS\Target%20Group%20Stock%20201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_Departments\FMP-P_FMG-M\BWP_E\PLANUNG\02%20-%202013\02%20-%20MAD%202013\MAD%202013%20nach%20MAD\MAD%20Tool\MAD%20Tools%20nach%20L&#228;ndern\MBCH_Target%20_Tool_2013_nach_MAD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WAHAS\AppData\Roaming\Microsoft\Excel\Price%2520List%25202025(W.e.f.%252001st%2520Sept%25202025)312079451914117014\Price%2520List%25202025(W.e.f.%252001st%2520Sept%25202025)((Autorecovered-312091612317616169)).xlsb" TargetMode="External"/><Relationship Id="rId1" Type="http://schemas.openxmlformats.org/officeDocument/2006/relationships/externalLinkPath" Target="file:///C:\Users\JAWAHAS\AppData\Roaming\Microsoft\Excel\Price%2520List%25202025(W.e.f.%252001st%2520Sept%25202025)312079451914117014\Price%2520List%25202025(W.e.f.%252001st%2520Sept%25202025)((Autorecovered-312091612317616169)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"/>
      <sheetName val="GroupSales"/>
      <sheetName val="Indices"/>
      <sheetName val="Inflation"/>
      <sheetName val="Premium"/>
      <sheetName val="Special Discounts"/>
      <sheetName val="A-CST-Class"/>
      <sheetName val="C-Class 1"/>
      <sheetName val="C-Class 2"/>
      <sheetName val="E-Class"/>
      <sheetName val="S-Class 1"/>
      <sheetName val="S-Class 2"/>
      <sheetName val="MRG-Class"/>
      <sheetName val="Alea_A"/>
      <sheetName val="Alea_C"/>
      <sheetName val="Alea_E"/>
      <sheetName val="Alea_S"/>
      <sheetName val="Alea_M_R_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 x TKL"/>
      <sheetName val="TKL x Month"/>
      <sheetName val="Region x Month"/>
      <sheetName val="TKL x Year"/>
      <sheetName val="Region x Year"/>
      <sheetName val="Year x Month"/>
      <sheetName val="Daten"/>
      <sheetName val="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p.Stock 2018 Welt P8 Werte"/>
      <sheetName val="Tabelle1"/>
      <sheetName val="Stock nTKL Saisonal Welt m pbp"/>
      <sheetName val="Stock Sais. Welt incl. gerundet"/>
      <sheetName val="Stock nTKL Saisonal BBAC"/>
      <sheetName val="Stock nTKL Saisonal Welt. o pbp"/>
      <sheetName val="Administration"/>
      <sheetName val="Quelle"/>
      <sheetName val="MBPC StockLevel nM"/>
      <sheetName val="MBPC Stock nM Saisonal"/>
      <sheetName val="smart StockLevel nM"/>
      <sheetName val="smart Stock nM Saisonal"/>
      <sheetName val="Stock Level n TKL "/>
      <sheetName val="MBC StockLevel abs nM"/>
      <sheetName val="MBC Stock nM Saisonal"/>
      <sheetName val="Vergleich Reaches 18zu17"/>
      <sheetName val="Reaches je Stock Type"/>
      <sheetName val="Reaches MBC"/>
      <sheetName val="Reaches Factory Stock"/>
      <sheetName val="Retail_MBC"/>
      <sheetName val="MBC GS Ziel 17-18 nM"/>
      <sheetName val="MBPC GS Ziel 17-18 nM"/>
      <sheetName val="smart GS Ziel 17-18 nM"/>
      <sheetName val="Stock nTKL Saisonal"/>
      <sheetName val="Reichweiten nach TK"/>
      <sheetName val="Target u RW je Produktgruppe"/>
      <sheetName val="Retail MBPC"/>
      <sheetName val="Retail smart TEST"/>
      <sheetName val="Retail_smart"/>
      <sheetName val="Bestände nach TK"/>
      <sheetName val="Bestände MBPC"/>
      <sheetName val="Bestände_MBC"/>
      <sheetName val="Bestände_smart"/>
      <sheetName val="Retail MBPC TK"/>
      <sheetName val="Retail MBPC TK BBAC"/>
      <sheetName val="Retail MBPC TK Welt o. BBAC"/>
      <sheetName val="MBPC GS Overview"/>
      <sheetName val="smart GS Overview"/>
      <sheetName val="MBPC RW nach Planstände"/>
      <sheetName val="smart RW nach Planstände"/>
      <sheetName val="ANLEITUNG zu MBPC GS Overview"/>
      <sheetName val=".."/>
      <sheetName val="smart RW nach Planstände 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kpit"/>
      <sheetName val="KPI Overview"/>
      <sheetName val="Price"/>
      <sheetName val="SD"/>
      <sheetName val="Mktg"/>
      <sheetName val="Berechnung_Menge"/>
      <sheetName val="Berechnung_Umsatz"/>
      <sheetName val="Berechnung_SA_Quoten"/>
      <sheetName val="Berechnung_PE"/>
      <sheetName val="Berechnung_Nachlässe"/>
      <sheetName val="Berechnung_BR_Struktur"/>
      <sheetName val="Datengrundlage MKT"/>
      <sheetName val="Datenbasis MARS"/>
      <sheetName val="Lan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 List - w.e.f 1st Jul"/>
    </sheetNames>
    <sheetDataSet>
      <sheetData sheetId="0">
        <row r="24">
          <cell r="I24" t="str">
            <v>EQA 250+</v>
          </cell>
          <cell r="J24">
            <v>6400000</v>
          </cell>
        </row>
        <row r="25">
          <cell r="I25" t="str">
            <v>EQB 250+</v>
          </cell>
          <cell r="J25">
            <v>6876190.4761904757</v>
          </cell>
        </row>
        <row r="26">
          <cell r="I26" t="str">
            <v>EQB 350 4MATIC</v>
          </cell>
          <cell r="J26">
            <v>7514285.7142857136</v>
          </cell>
        </row>
        <row r="27">
          <cell r="I27" t="str">
            <v>EQE SUV 500 4MATIC</v>
          </cell>
          <cell r="J27">
            <v>13466666.666666666</v>
          </cell>
        </row>
        <row r="28">
          <cell r="I28" t="str">
            <v>EQS 580 4MATIC</v>
          </cell>
          <cell r="J28">
            <v>15495238.095238095</v>
          </cell>
        </row>
        <row r="29">
          <cell r="I29" t="str">
            <v>EQS SUV 450 4MATIC</v>
          </cell>
          <cell r="J29">
            <v>12714285.714285715</v>
          </cell>
        </row>
        <row r="30">
          <cell r="I30" t="str">
            <v>EQS SUV 580 4MATIC 5 Seater</v>
          </cell>
          <cell r="J30">
            <v>13980952.380952381</v>
          </cell>
        </row>
        <row r="31">
          <cell r="I31" t="str">
            <v>EQS SUV 580 4MATIC 7 Seater</v>
          </cell>
          <cell r="J31">
            <v>14047619.047619047</v>
          </cell>
        </row>
        <row r="32">
          <cell r="I32" t="str">
            <v>G580</v>
          </cell>
          <cell r="J32">
            <v>29523809.523809522</v>
          </cell>
        </row>
        <row r="33">
          <cell r="I33" t="str">
            <v>GLA 200</v>
          </cell>
          <cell r="J33">
            <v>3551724.1379310344</v>
          </cell>
        </row>
        <row r="34">
          <cell r="I34" t="str">
            <v>GLA 220d 4MATIC</v>
          </cell>
          <cell r="J34">
            <v>3633333.3333333335</v>
          </cell>
        </row>
        <row r="35">
          <cell r="I35" t="str">
            <v>GLA 220d 4MATIC AMG Line</v>
          </cell>
          <cell r="J35">
            <v>3766666.6666666665</v>
          </cell>
        </row>
        <row r="36">
          <cell r="I36" t="str">
            <v>GLC 220d 4MATIC</v>
          </cell>
          <cell r="J36">
            <v>5283333.333333333</v>
          </cell>
        </row>
        <row r="37">
          <cell r="I37" t="str">
            <v>GLC 300 4MATIC</v>
          </cell>
          <cell r="J37">
            <v>5283333.333333333</v>
          </cell>
        </row>
        <row r="38">
          <cell r="I38" t="str">
            <v>GLE 300d 4MATIC AMG Line</v>
          </cell>
          <cell r="J38">
            <v>6866666.666666667</v>
          </cell>
        </row>
        <row r="39">
          <cell r="I39" t="str">
            <v>GLE 450 4MATIC AMG Line</v>
          </cell>
          <cell r="J39">
            <v>7666666.666666667</v>
          </cell>
        </row>
        <row r="40">
          <cell r="I40" t="str">
            <v>GLE 450d 4MATIC AMG Line</v>
          </cell>
          <cell r="J40">
            <v>8000000</v>
          </cell>
        </row>
        <row r="41">
          <cell r="I41" t="str">
            <v>GLS 450 4MATIC</v>
          </cell>
          <cell r="J41">
            <v>9433333.333333334</v>
          </cell>
        </row>
        <row r="42">
          <cell r="I42" t="str">
            <v>GLS 450d 4MATIC</v>
          </cell>
          <cell r="J42">
            <v>9600000</v>
          </cell>
        </row>
        <row r="43">
          <cell r="I43" t="str">
            <v xml:space="preserve">Maybach EQS SUV 680 </v>
          </cell>
          <cell r="J43">
            <v>22857142.857142854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8C71-DFFC-4BFF-85C2-288FF4FF5BB7}">
  <sheetPr codeName="Sheet1">
    <pageSetUpPr fitToPage="1"/>
  </sheetPr>
  <dimension ref="A1:AJ120"/>
  <sheetViews>
    <sheetView tabSelected="1" zoomScale="70" zoomScaleNormal="70" zoomScaleSheetLayoutView="55" workbookViewId="0">
      <pane xSplit="6" ySplit="7" topLeftCell="Y8" activePane="bottomRight" state="frozen"/>
      <selection pane="bottomRight" activeCell="AC8" sqref="AC8"/>
      <selection pane="bottomLeft" activeCell="A8" sqref="A8"/>
      <selection pane="topRight" activeCell="G1" sqref="G1"/>
    </sheetView>
  </sheetViews>
  <sheetFormatPr defaultColWidth="15.7109375" defaultRowHeight="14.25" outlineLevelCol="1"/>
  <cols>
    <col min="1" max="1" width="15.7109375" style="1"/>
    <col min="2" max="2" width="21.5703125" style="2" bestFit="1" customWidth="1"/>
    <col min="3" max="3" width="17.7109375" style="1" bestFit="1" customWidth="1"/>
    <col min="4" max="4" width="15.7109375" style="1"/>
    <col min="5" max="5" width="39.5703125" style="1" hidden="1" customWidth="1"/>
    <col min="6" max="6" width="45" style="3" customWidth="1"/>
    <col min="7" max="17" width="18.5703125" style="3" hidden="1" customWidth="1" outlineLevel="1"/>
    <col min="18" max="18" width="18.5703125" style="5" hidden="1" customWidth="1" outlineLevel="1"/>
    <col min="19" max="20" width="18.5703125" style="4" hidden="1" customWidth="1" outlineLevel="1"/>
    <col min="21" max="21" width="18.5703125" style="11" hidden="1" customWidth="1" outlineLevel="1"/>
    <col min="22" max="24" width="18.5703125" style="1" hidden="1" customWidth="1" outlineLevel="1"/>
    <col min="25" max="25" width="18.5703125" style="1" customWidth="1" collapsed="1"/>
    <col min="26" max="27" width="18.5703125" style="1" customWidth="1"/>
    <col min="28" max="31" width="15.7109375" style="1"/>
    <col min="32" max="35" width="16.7109375" style="1" customWidth="1"/>
    <col min="36" max="16384" width="15.7109375" style="1"/>
  </cols>
  <sheetData>
    <row r="1" spans="1:29" ht="26.25">
      <c r="A1" s="41" t="s">
        <v>0</v>
      </c>
      <c r="R1" s="9"/>
      <c r="S1" s="9"/>
      <c r="T1" s="9"/>
      <c r="U1" s="10"/>
    </row>
    <row r="2" spans="1:29" ht="31.15" customHeight="1">
      <c r="A2" s="40" t="s">
        <v>1</v>
      </c>
      <c r="R2" s="9"/>
      <c r="S2" s="9"/>
      <c r="T2" s="9"/>
      <c r="U2" s="10"/>
    </row>
    <row r="3" spans="1:29" ht="14.45" customHeight="1">
      <c r="R3" s="9"/>
      <c r="S3" s="9"/>
      <c r="T3" s="9"/>
      <c r="U3" s="10"/>
    </row>
    <row r="4" spans="1:29" ht="14.45" customHeight="1">
      <c r="R4" s="9"/>
      <c r="S4" s="9"/>
      <c r="T4" s="9"/>
      <c r="U4" s="10"/>
    </row>
    <row r="5" spans="1:29">
      <c r="R5" s="105"/>
      <c r="S5" s="105"/>
      <c r="T5" s="105"/>
      <c r="U5" s="10"/>
    </row>
    <row r="6" spans="1:29" ht="18.75" thickBot="1">
      <c r="A6" s="6"/>
      <c r="B6" s="6"/>
      <c r="C6" s="6"/>
      <c r="D6" s="6"/>
      <c r="E6" s="6"/>
      <c r="F6" s="6"/>
      <c r="G6" s="104" t="s">
        <v>2</v>
      </c>
      <c r="H6" s="104"/>
      <c r="I6" s="104"/>
      <c r="J6" s="106" t="s">
        <v>3</v>
      </c>
      <c r="K6" s="106"/>
      <c r="L6" s="106"/>
      <c r="M6" s="107" t="s">
        <v>4</v>
      </c>
      <c r="N6" s="107"/>
      <c r="O6" s="107"/>
      <c r="P6" s="108" t="s">
        <v>5</v>
      </c>
      <c r="Q6" s="109"/>
      <c r="R6" s="109"/>
      <c r="S6" s="110" t="s">
        <v>6</v>
      </c>
      <c r="T6" s="111"/>
      <c r="U6" s="111"/>
      <c r="V6" s="102" t="s">
        <v>7</v>
      </c>
      <c r="W6" s="103"/>
      <c r="X6" s="103"/>
      <c r="Y6" s="100" t="s">
        <v>8</v>
      </c>
      <c r="Z6" s="101"/>
      <c r="AA6" s="101"/>
    </row>
    <row r="7" spans="1:29" s="39" customFormat="1" ht="42">
      <c r="A7" s="57" t="s">
        <v>9</v>
      </c>
      <c r="B7" s="58" t="s">
        <v>10</v>
      </c>
      <c r="C7" s="58" t="s">
        <v>11</v>
      </c>
      <c r="D7" s="58" t="s">
        <v>12</v>
      </c>
      <c r="E7" s="58" t="s">
        <v>13</v>
      </c>
      <c r="F7" s="58" t="s">
        <v>14</v>
      </c>
      <c r="G7" s="58" t="s">
        <v>15</v>
      </c>
      <c r="H7" s="58" t="s">
        <v>16</v>
      </c>
      <c r="I7" s="58" t="s">
        <v>17</v>
      </c>
      <c r="J7" s="58" t="s">
        <v>15</v>
      </c>
      <c r="K7" s="58" t="s">
        <v>16</v>
      </c>
      <c r="L7" s="58" t="s">
        <v>17</v>
      </c>
      <c r="M7" s="58" t="s">
        <v>15</v>
      </c>
      <c r="N7" s="58" t="s">
        <v>16</v>
      </c>
      <c r="O7" s="58" t="s">
        <v>17</v>
      </c>
      <c r="P7" s="58" t="s">
        <v>15</v>
      </c>
      <c r="Q7" s="58" t="s">
        <v>16</v>
      </c>
      <c r="R7" s="58" t="s">
        <v>17</v>
      </c>
      <c r="S7" s="79" t="s">
        <v>18</v>
      </c>
      <c r="T7" s="80" t="s">
        <v>16</v>
      </c>
      <c r="U7" s="58" t="s">
        <v>19</v>
      </c>
      <c r="V7" s="79" t="s">
        <v>18</v>
      </c>
      <c r="W7" s="80" t="s">
        <v>16</v>
      </c>
      <c r="X7" s="58" t="s">
        <v>19</v>
      </c>
      <c r="Y7" s="79" t="s">
        <v>18</v>
      </c>
      <c r="Z7" s="80" t="s">
        <v>16</v>
      </c>
      <c r="AA7" s="81" t="s">
        <v>19</v>
      </c>
      <c r="AC7" s="39" t="s">
        <v>20</v>
      </c>
    </row>
    <row r="8" spans="1:29" s="8" customFormat="1" ht="18">
      <c r="A8" s="59" t="s">
        <v>21</v>
      </c>
      <c r="B8" s="13" t="s">
        <v>22</v>
      </c>
      <c r="C8" s="13" t="s">
        <v>23</v>
      </c>
      <c r="D8" s="13" t="s">
        <v>24</v>
      </c>
      <c r="E8" s="13" t="s">
        <v>25</v>
      </c>
      <c r="F8" s="14" t="s">
        <v>26</v>
      </c>
      <c r="G8" s="21">
        <v>0.45</v>
      </c>
      <c r="H8" s="23">
        <v>3175862.3793103453</v>
      </c>
      <c r="I8" s="23">
        <f>H8*(1+G8)</f>
        <v>4605000.45</v>
      </c>
      <c r="J8" s="21">
        <v>0.45</v>
      </c>
      <c r="K8" s="23">
        <v>3175862.3793103453</v>
      </c>
      <c r="L8" s="23">
        <f>K8*(1+J8)</f>
        <v>4605000.45</v>
      </c>
      <c r="M8" s="20">
        <v>0.45</v>
      </c>
      <c r="N8" s="24">
        <v>3175862.3793103453</v>
      </c>
      <c r="O8" s="24">
        <f>N8*(1+M8)</f>
        <v>4605000.45</v>
      </c>
      <c r="P8" s="15">
        <v>0.45</v>
      </c>
      <c r="Q8" s="16">
        <v>3175862.3793103453</v>
      </c>
      <c r="R8" s="17">
        <f>Q8*(1+P8)</f>
        <v>4605000.45</v>
      </c>
      <c r="S8" s="15">
        <v>0.4</v>
      </c>
      <c r="T8" s="16">
        <f>U8/(1+S8)</f>
        <v>3175862.3793103453</v>
      </c>
      <c r="U8" s="16">
        <f>Q8*(1+S8)</f>
        <v>4446207.3310344834</v>
      </c>
      <c r="V8" s="15">
        <v>0.4</v>
      </c>
      <c r="W8" s="16">
        <v>3175000</v>
      </c>
      <c r="X8" s="16">
        <f>W8*(1+V8)</f>
        <v>4445000</v>
      </c>
      <c r="Y8" s="15">
        <v>0.4</v>
      </c>
      <c r="Z8" s="43">
        <f t="shared" ref="Z8:Z39" si="0">AA8/(1+Y8)</f>
        <v>3175000</v>
      </c>
      <c r="AA8" s="60">
        <v>4445000</v>
      </c>
      <c r="AB8" s="7">
        <f>Z8*(1+Y8)</f>
        <v>4445000</v>
      </c>
      <c r="AC8" s="7">
        <f t="shared" ref="AC8:AC37" si="1">AB8-AA8</f>
        <v>0</v>
      </c>
    </row>
    <row r="9" spans="1:29" s="8" customFormat="1" ht="22.7" customHeight="1">
      <c r="A9" s="59" t="s">
        <v>21</v>
      </c>
      <c r="B9" s="13" t="s">
        <v>22</v>
      </c>
      <c r="C9" s="13" t="s">
        <v>23</v>
      </c>
      <c r="D9" s="13" t="s">
        <v>24</v>
      </c>
      <c r="E9" s="13" t="s">
        <v>27</v>
      </c>
      <c r="F9" s="14" t="s">
        <v>28</v>
      </c>
      <c r="G9" s="21">
        <v>0.48</v>
      </c>
      <c r="H9" s="23">
        <v>3280405.3918918916</v>
      </c>
      <c r="I9" s="23">
        <f>H9*(1+G9)</f>
        <v>4854999.9799999995</v>
      </c>
      <c r="J9" s="21">
        <v>0.48</v>
      </c>
      <c r="K9" s="23">
        <v>3280405.3918918916</v>
      </c>
      <c r="L9" s="23">
        <f>K9*(1+J9)</f>
        <v>4854999.9799999995</v>
      </c>
      <c r="M9" s="20">
        <v>0.48</v>
      </c>
      <c r="N9" s="24">
        <v>3280405.3918918916</v>
      </c>
      <c r="O9" s="24">
        <f>N9*(1+M9)</f>
        <v>4854999.9799999995</v>
      </c>
      <c r="P9" s="15">
        <v>0.48</v>
      </c>
      <c r="Q9" s="16">
        <v>3280405.3918918916</v>
      </c>
      <c r="R9" s="17">
        <f>Q9*(1+P9)</f>
        <v>4854999.9799999995</v>
      </c>
      <c r="S9" s="15">
        <v>0.4</v>
      </c>
      <c r="T9" s="16">
        <f>U9/(1+S9)</f>
        <v>3280405.3918918916</v>
      </c>
      <c r="U9" s="16">
        <f>Q9*(1+S9)</f>
        <v>4592567.548648648</v>
      </c>
      <c r="V9" s="15">
        <v>0.4</v>
      </c>
      <c r="W9" s="16">
        <v>3280405.3918918916</v>
      </c>
      <c r="X9" s="16">
        <f>W9*(1+V9)</f>
        <v>4592567.548648648</v>
      </c>
      <c r="Y9" s="15">
        <v>0.4</v>
      </c>
      <c r="Z9" s="43">
        <f t="shared" si="0"/>
        <v>3280405.3918918916</v>
      </c>
      <c r="AA9" s="60">
        <v>4592567.548648648</v>
      </c>
      <c r="AB9" s="7">
        <f t="shared" ref="AB9:AB71" si="2">Z9*(1+Y9)</f>
        <v>4592567.548648648</v>
      </c>
      <c r="AC9" s="7">
        <f t="shared" si="1"/>
        <v>0</v>
      </c>
    </row>
    <row r="10" spans="1:29" s="8" customFormat="1" ht="22.7" customHeight="1">
      <c r="A10" s="59" t="s">
        <v>21</v>
      </c>
      <c r="B10" s="13" t="s">
        <v>29</v>
      </c>
      <c r="C10" s="13" t="s">
        <v>23</v>
      </c>
      <c r="D10" s="13" t="s">
        <v>24</v>
      </c>
      <c r="E10" s="13" t="s">
        <v>30</v>
      </c>
      <c r="F10" s="14" t="s">
        <v>31</v>
      </c>
      <c r="G10" s="21">
        <v>0.45</v>
      </c>
      <c r="H10" s="23">
        <v>3503448.2758620689</v>
      </c>
      <c r="I10" s="23">
        <f>H10*(1+G10)</f>
        <v>5080000</v>
      </c>
      <c r="J10" s="21">
        <v>0.45</v>
      </c>
      <c r="K10" s="23">
        <v>3503448.2758620689</v>
      </c>
      <c r="L10" s="23">
        <f>K10*(1+J10)</f>
        <v>5080000</v>
      </c>
      <c r="M10" s="20">
        <v>0.45</v>
      </c>
      <c r="N10" s="24">
        <v>3551724.1379310344</v>
      </c>
      <c r="O10" s="24">
        <f>N10*(1+M10)</f>
        <v>5150000</v>
      </c>
      <c r="P10" s="15">
        <v>0.45</v>
      </c>
      <c r="Q10" s="16">
        <v>3551724.1379310344</v>
      </c>
      <c r="R10" s="17">
        <f>Q10*(1+P10)</f>
        <v>5150000</v>
      </c>
      <c r="S10" s="15">
        <v>0.4</v>
      </c>
      <c r="T10" s="16">
        <f>U10/(1+S10)</f>
        <v>3551724.1379310344</v>
      </c>
      <c r="U10" s="16">
        <f>Q10*(1+S10)</f>
        <v>4972413.7931034481</v>
      </c>
      <c r="V10" s="15">
        <v>0.4</v>
      </c>
      <c r="W10" s="16">
        <v>3628571.4285714286</v>
      </c>
      <c r="X10" s="16">
        <f>W10*(1+V10)</f>
        <v>5080000</v>
      </c>
      <c r="Y10" s="15">
        <v>0.4</v>
      </c>
      <c r="Z10" s="43">
        <f t="shared" si="0"/>
        <v>3700000.0000000005</v>
      </c>
      <c r="AA10" s="60">
        <f>5180000</f>
        <v>5180000</v>
      </c>
      <c r="AB10" s="7">
        <f t="shared" si="2"/>
        <v>5180000</v>
      </c>
      <c r="AC10" s="7">
        <f t="shared" si="1"/>
        <v>0</v>
      </c>
    </row>
    <row r="11" spans="1:29" s="8" customFormat="1" ht="22.7" customHeight="1">
      <c r="A11" s="59" t="s">
        <v>21</v>
      </c>
      <c r="B11" s="13" t="s">
        <v>29</v>
      </c>
      <c r="C11" s="13" t="s">
        <v>23</v>
      </c>
      <c r="D11" s="13" t="s">
        <v>24</v>
      </c>
      <c r="E11" s="13"/>
      <c r="F11" s="14" t="s">
        <v>32</v>
      </c>
      <c r="G11" s="21">
        <v>0.5</v>
      </c>
      <c r="H11" s="23">
        <v>3586666.6666666665</v>
      </c>
      <c r="I11" s="23">
        <f>H11*(1+G11)</f>
        <v>5380000</v>
      </c>
      <c r="J11" s="21">
        <v>0.5</v>
      </c>
      <c r="K11" s="23">
        <v>3586666.6666666665</v>
      </c>
      <c r="L11" s="23">
        <f>K11*(1+J11)</f>
        <v>5380000</v>
      </c>
      <c r="M11" s="20">
        <v>0.5</v>
      </c>
      <c r="N11" s="24">
        <v>3633333.3333333335</v>
      </c>
      <c r="O11" s="24">
        <f>N11*(1+M11)</f>
        <v>5450000</v>
      </c>
      <c r="P11" s="15">
        <v>0.5</v>
      </c>
      <c r="Q11" s="16">
        <v>3633333.3333333335</v>
      </c>
      <c r="R11" s="17">
        <f>Q11*(1+P11)</f>
        <v>5450000</v>
      </c>
      <c r="S11" s="15">
        <v>0.4</v>
      </c>
      <c r="T11" s="16">
        <f>U11/(1+S11)</f>
        <v>3633333.333333334</v>
      </c>
      <c r="U11" s="16">
        <f>Q11*(1+S11)</f>
        <v>5086666.666666667</v>
      </c>
      <c r="V11" s="15">
        <v>0.4</v>
      </c>
      <c r="W11" s="16">
        <v>3714285.7142857146</v>
      </c>
      <c r="X11" s="16">
        <f>W11*(1+V11)</f>
        <v>5200000</v>
      </c>
      <c r="Y11" s="15">
        <v>0.4</v>
      </c>
      <c r="Z11" s="43">
        <f t="shared" si="0"/>
        <v>3785714.2857142859</v>
      </c>
      <c r="AA11" s="60">
        <f>5300000</f>
        <v>5300000</v>
      </c>
      <c r="AB11" s="7">
        <f t="shared" si="2"/>
        <v>5300000</v>
      </c>
      <c r="AC11" s="7">
        <f t="shared" si="1"/>
        <v>0</v>
      </c>
    </row>
    <row r="12" spans="1:29" s="8" customFormat="1" ht="22.7" customHeight="1">
      <c r="A12" s="59" t="s">
        <v>21</v>
      </c>
      <c r="B12" s="13" t="s">
        <v>29</v>
      </c>
      <c r="C12" s="13" t="s">
        <v>23</v>
      </c>
      <c r="D12" s="13" t="s">
        <v>24</v>
      </c>
      <c r="E12" s="13" t="s">
        <v>33</v>
      </c>
      <c r="F12" s="14" t="s">
        <v>34</v>
      </c>
      <c r="G12" s="21">
        <v>0.5</v>
      </c>
      <c r="H12" s="23">
        <v>3720000</v>
      </c>
      <c r="I12" s="23">
        <f>H12*(1+G12)</f>
        <v>5580000</v>
      </c>
      <c r="J12" s="21">
        <v>0.5</v>
      </c>
      <c r="K12" s="23">
        <v>3720000</v>
      </c>
      <c r="L12" s="23">
        <f>K12*(1+J12)</f>
        <v>5580000</v>
      </c>
      <c r="M12" s="20">
        <v>0.5</v>
      </c>
      <c r="N12" s="24">
        <v>3766666.6666666665</v>
      </c>
      <c r="O12" s="24">
        <f>N12*(1+M12)</f>
        <v>5650000</v>
      </c>
      <c r="P12" s="15">
        <v>0.5</v>
      </c>
      <c r="Q12" s="16">
        <v>3766666.666666667</v>
      </c>
      <c r="R12" s="17">
        <f>Q12*(1+P12)</f>
        <v>5650000</v>
      </c>
      <c r="S12" s="15">
        <v>0.4</v>
      </c>
      <c r="T12" s="16">
        <f>U12/(1+S12)</f>
        <v>3766666.6666666665</v>
      </c>
      <c r="U12" s="16">
        <f>Q12*(1+S12)</f>
        <v>5273333.333333333</v>
      </c>
      <c r="V12" s="15">
        <v>0.4</v>
      </c>
      <c r="W12" s="16">
        <v>3842857.1428571432</v>
      </c>
      <c r="X12" s="16">
        <f>W12*(1+V12)</f>
        <v>5380000</v>
      </c>
      <c r="Y12" s="15">
        <v>0.4</v>
      </c>
      <c r="Z12" s="43">
        <f t="shared" si="0"/>
        <v>3928571.4285714286</v>
      </c>
      <c r="AA12" s="60">
        <f>5500000</f>
        <v>5500000</v>
      </c>
      <c r="AB12" s="7">
        <f t="shared" si="2"/>
        <v>5500000</v>
      </c>
      <c r="AC12" s="7">
        <f t="shared" si="1"/>
        <v>0</v>
      </c>
    </row>
    <row r="13" spans="1:29" s="12" customFormat="1" ht="22.7" customHeight="1">
      <c r="A13" s="59" t="s">
        <v>21</v>
      </c>
      <c r="B13" s="13" t="s">
        <v>35</v>
      </c>
      <c r="C13" s="13" t="s">
        <v>36</v>
      </c>
      <c r="D13" s="27" t="s">
        <v>37</v>
      </c>
      <c r="E13" s="13"/>
      <c r="F13" s="14" t="s">
        <v>38</v>
      </c>
      <c r="G13" s="21">
        <v>0.05</v>
      </c>
      <c r="H13" s="54">
        <v>0</v>
      </c>
      <c r="I13" s="54">
        <v>0</v>
      </c>
      <c r="J13" s="42">
        <v>0</v>
      </c>
      <c r="K13" s="54">
        <v>0</v>
      </c>
      <c r="L13" s="54">
        <v>0</v>
      </c>
      <c r="M13" s="56">
        <v>0</v>
      </c>
      <c r="N13" s="54">
        <v>0</v>
      </c>
      <c r="O13" s="54">
        <v>0</v>
      </c>
      <c r="P13" s="55">
        <v>0</v>
      </c>
      <c r="Q13" s="55">
        <v>0</v>
      </c>
      <c r="R13" s="56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15">
        <v>0.05</v>
      </c>
      <c r="Z13" s="43">
        <f t="shared" si="0"/>
        <v>5380952.3809523806</v>
      </c>
      <c r="AA13" s="60">
        <f>5500000+150000</f>
        <v>5650000</v>
      </c>
      <c r="AB13" s="7">
        <f t="shared" si="2"/>
        <v>5650000</v>
      </c>
      <c r="AC13" s="7">
        <f t="shared" si="1"/>
        <v>0</v>
      </c>
    </row>
    <row r="14" spans="1:29" s="12" customFormat="1" ht="22.7" customHeight="1">
      <c r="A14" s="59" t="s">
        <v>21</v>
      </c>
      <c r="B14" s="13" t="s">
        <v>35</v>
      </c>
      <c r="C14" s="13" t="s">
        <v>36</v>
      </c>
      <c r="D14" s="27" t="s">
        <v>37</v>
      </c>
      <c r="E14" s="13"/>
      <c r="F14" s="14" t="s">
        <v>39</v>
      </c>
      <c r="G14" s="21">
        <v>0.05</v>
      </c>
      <c r="H14" s="54">
        <v>0</v>
      </c>
      <c r="I14" s="54">
        <v>0</v>
      </c>
      <c r="J14" s="42">
        <v>0</v>
      </c>
      <c r="K14" s="54">
        <v>0</v>
      </c>
      <c r="L14" s="54">
        <v>0</v>
      </c>
      <c r="M14" s="56">
        <v>0</v>
      </c>
      <c r="N14" s="54">
        <v>0</v>
      </c>
      <c r="O14" s="54">
        <v>0</v>
      </c>
      <c r="P14" s="55">
        <v>0</v>
      </c>
      <c r="Q14" s="55">
        <v>0</v>
      </c>
      <c r="R14" s="56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15">
        <v>0.05</v>
      </c>
      <c r="Z14" s="43">
        <f t="shared" si="0"/>
        <v>5761904.7619047612</v>
      </c>
      <c r="AA14" s="60">
        <f>5900000+150000</f>
        <v>6050000</v>
      </c>
      <c r="AB14" s="7">
        <f t="shared" si="2"/>
        <v>6049999.9999999991</v>
      </c>
      <c r="AC14" s="7">
        <f t="shared" si="1"/>
        <v>0</v>
      </c>
    </row>
    <row r="15" spans="1:29" s="12" customFormat="1" ht="22.7" customHeight="1">
      <c r="A15" s="61" t="s">
        <v>40</v>
      </c>
      <c r="B15" s="18" t="s">
        <v>41</v>
      </c>
      <c r="C15" s="18" t="s">
        <v>23</v>
      </c>
      <c r="D15" s="18" t="s">
        <v>24</v>
      </c>
      <c r="E15" s="18" t="s">
        <v>42</v>
      </c>
      <c r="F15" s="19" t="s">
        <v>43</v>
      </c>
      <c r="G15" s="22">
        <v>0.48</v>
      </c>
      <c r="H15" s="44">
        <v>4074324.3243243243</v>
      </c>
      <c r="I15" s="44">
        <f>H15*(1+G15)</f>
        <v>6030000</v>
      </c>
      <c r="J15" s="22">
        <v>0.48</v>
      </c>
      <c r="K15" s="44">
        <v>4074324.3243243243</v>
      </c>
      <c r="L15" s="44">
        <f>K15*(1+J15)</f>
        <v>6030000</v>
      </c>
      <c r="M15" s="20">
        <v>0.48</v>
      </c>
      <c r="N15" s="45">
        <v>4135135.1351351351</v>
      </c>
      <c r="O15" s="45">
        <f>N15*(1+M15)</f>
        <v>6120000</v>
      </c>
      <c r="P15" s="20">
        <v>0.48</v>
      </c>
      <c r="Q15" s="17">
        <v>4189189.1891891891</v>
      </c>
      <c r="R15" s="17">
        <f>Q15*(1+P15)</f>
        <v>6200000</v>
      </c>
      <c r="S15" s="20">
        <v>0.4</v>
      </c>
      <c r="T15" s="17">
        <f>U15/(1+S15)</f>
        <v>4189189.1891891891</v>
      </c>
      <c r="U15" s="17">
        <f>Q15*(1+S15)</f>
        <v>5864864.8648648644</v>
      </c>
      <c r="V15" s="20">
        <v>0.4</v>
      </c>
      <c r="W15" s="17">
        <v>4278571.4285714291</v>
      </c>
      <c r="X15" s="17">
        <f>W15*(1+V15)</f>
        <v>5990000</v>
      </c>
      <c r="Y15" s="20">
        <v>0.4</v>
      </c>
      <c r="Z15" s="46">
        <f t="shared" si="0"/>
        <v>4371428.5714285718</v>
      </c>
      <c r="AA15" s="62">
        <v>6120000</v>
      </c>
      <c r="AB15" s="7">
        <f t="shared" si="2"/>
        <v>6120000</v>
      </c>
      <c r="AC15" s="7">
        <f t="shared" si="1"/>
        <v>0</v>
      </c>
    </row>
    <row r="16" spans="1:29" s="12" customFormat="1" ht="22.7" customHeight="1">
      <c r="A16" s="61" t="s">
        <v>40</v>
      </c>
      <c r="B16" s="18" t="s">
        <v>41</v>
      </c>
      <c r="C16" s="18" t="s">
        <v>23</v>
      </c>
      <c r="D16" s="18" t="s">
        <v>24</v>
      </c>
      <c r="E16" s="18" t="s">
        <v>44</v>
      </c>
      <c r="F16" s="19" t="s">
        <v>45</v>
      </c>
      <c r="G16" s="22">
        <v>0.45</v>
      </c>
      <c r="H16" s="44">
        <v>4096551.7241379311</v>
      </c>
      <c r="I16" s="44">
        <f>H16*(1+G16)</f>
        <v>5940000</v>
      </c>
      <c r="J16" s="22">
        <v>0.45</v>
      </c>
      <c r="K16" s="44">
        <v>4096551.7241379311</v>
      </c>
      <c r="L16" s="44">
        <f>K16*(1+J16)</f>
        <v>5940000</v>
      </c>
      <c r="M16" s="20">
        <v>0.45</v>
      </c>
      <c r="N16" s="45">
        <v>4158620.6896551726</v>
      </c>
      <c r="O16" s="45">
        <f>N16*(1+M16)</f>
        <v>6030000</v>
      </c>
      <c r="P16" s="20">
        <v>0.45</v>
      </c>
      <c r="Q16" s="17">
        <v>4206896.5517241387</v>
      </c>
      <c r="R16" s="17">
        <f>Q16*(1+P16)</f>
        <v>6100000.0000000009</v>
      </c>
      <c r="S16" s="20">
        <v>0.4</v>
      </c>
      <c r="T16" s="17">
        <f>U16/(1+S16)</f>
        <v>4206896.5517241387</v>
      </c>
      <c r="U16" s="17">
        <f>Q16*(1+S16)</f>
        <v>5889655.1724137934</v>
      </c>
      <c r="V16" s="20">
        <v>0.4</v>
      </c>
      <c r="W16" s="17">
        <v>4278571.4285714291</v>
      </c>
      <c r="X16" s="17">
        <f>W16*(1+V16)</f>
        <v>5990000</v>
      </c>
      <c r="Y16" s="20">
        <v>0.4</v>
      </c>
      <c r="Z16" s="46">
        <f t="shared" si="0"/>
        <v>4371428.5714285718</v>
      </c>
      <c r="AA16" s="62">
        <v>6120000</v>
      </c>
      <c r="AB16" s="7">
        <f t="shared" si="2"/>
        <v>6120000</v>
      </c>
      <c r="AC16" s="7">
        <f t="shared" si="1"/>
        <v>0</v>
      </c>
    </row>
    <row r="17" spans="1:29" s="12" customFormat="1" ht="22.7" customHeight="1">
      <c r="A17" s="59" t="s">
        <v>21</v>
      </c>
      <c r="B17" s="13" t="s">
        <v>35</v>
      </c>
      <c r="C17" s="13" t="s">
        <v>36</v>
      </c>
      <c r="D17" s="27" t="s">
        <v>37</v>
      </c>
      <c r="E17" s="13"/>
      <c r="F17" s="14" t="s">
        <v>46</v>
      </c>
      <c r="G17" s="21">
        <v>0.05</v>
      </c>
      <c r="H17" s="54">
        <v>0</v>
      </c>
      <c r="I17" s="54">
        <v>0</v>
      </c>
      <c r="J17" s="42">
        <v>0</v>
      </c>
      <c r="K17" s="54">
        <v>0</v>
      </c>
      <c r="L17" s="54">
        <v>0</v>
      </c>
      <c r="M17" s="56">
        <v>0</v>
      </c>
      <c r="N17" s="54">
        <v>0</v>
      </c>
      <c r="O17" s="54">
        <v>0</v>
      </c>
      <c r="P17" s="55">
        <v>0</v>
      </c>
      <c r="Q17" s="55">
        <v>0</v>
      </c>
      <c r="R17" s="56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15">
        <v>0.05</v>
      </c>
      <c r="Z17" s="43">
        <f t="shared" si="0"/>
        <v>6238095.2380952379</v>
      </c>
      <c r="AA17" s="60">
        <f>6400000+150000</f>
        <v>6550000</v>
      </c>
      <c r="AB17" s="7">
        <f t="shared" si="2"/>
        <v>6550000</v>
      </c>
      <c r="AC17" s="7">
        <f t="shared" si="1"/>
        <v>0</v>
      </c>
    </row>
    <row r="18" spans="1:29" s="12" customFormat="1" ht="22.7" customHeight="1">
      <c r="A18" s="61" t="s">
        <v>40</v>
      </c>
      <c r="B18" s="18" t="s">
        <v>41</v>
      </c>
      <c r="C18" s="18" t="s">
        <v>23</v>
      </c>
      <c r="D18" s="18" t="s">
        <v>24</v>
      </c>
      <c r="E18" s="18" t="s">
        <v>47</v>
      </c>
      <c r="F18" s="19" t="s">
        <v>48</v>
      </c>
      <c r="G18" s="22">
        <v>0.48</v>
      </c>
      <c r="H18" s="44">
        <v>4476351.3513513515</v>
      </c>
      <c r="I18" s="44">
        <f t="shared" ref="I18:I40" si="3">H18*(1+G18)</f>
        <v>6625000</v>
      </c>
      <c r="J18" s="22">
        <v>0.48</v>
      </c>
      <c r="K18" s="44">
        <v>4476351.3513513515</v>
      </c>
      <c r="L18" s="44">
        <f t="shared" ref="L18:L38" si="4">K18*(1+J18)</f>
        <v>6625000</v>
      </c>
      <c r="M18" s="20">
        <v>0.48</v>
      </c>
      <c r="N18" s="45">
        <v>4543918.9189189188</v>
      </c>
      <c r="O18" s="45">
        <f t="shared" ref="O18:O38" si="5">N18*(1+M18)</f>
        <v>6725000</v>
      </c>
      <c r="P18" s="20">
        <v>0.48</v>
      </c>
      <c r="Q18" s="17">
        <v>4594594.5945945941</v>
      </c>
      <c r="R18" s="17">
        <f t="shared" ref="R18:R29" si="6">Q18*(1+P18)</f>
        <v>6799999.9999999991</v>
      </c>
      <c r="S18" s="20">
        <v>0.4</v>
      </c>
      <c r="T18" s="17">
        <f>U18/(1+S18)</f>
        <v>4594594.5945945941</v>
      </c>
      <c r="U18" s="17">
        <f t="shared" ref="U18:U40" si="7">Q18*(1+S18)</f>
        <v>6432432.4324324317</v>
      </c>
      <c r="V18" s="20">
        <v>0.4</v>
      </c>
      <c r="W18" s="17">
        <v>4685714.2857142854</v>
      </c>
      <c r="X18" s="17">
        <f t="shared" ref="X18:X40" si="8">W18*(1+V18)</f>
        <v>6559999.9999999991</v>
      </c>
      <c r="Y18" s="20">
        <v>0.4</v>
      </c>
      <c r="Z18" s="46">
        <f t="shared" si="0"/>
        <v>4785714.2857142864</v>
      </c>
      <c r="AA18" s="62">
        <v>6700000</v>
      </c>
      <c r="AB18" s="7">
        <f t="shared" si="2"/>
        <v>6700000.0000000009</v>
      </c>
      <c r="AC18" s="7">
        <f t="shared" si="1"/>
        <v>0</v>
      </c>
    </row>
    <row r="19" spans="1:29" s="8" customFormat="1" ht="22.7" customHeight="1">
      <c r="A19" s="63" t="s">
        <v>21</v>
      </c>
      <c r="B19" s="25" t="s">
        <v>49</v>
      </c>
      <c r="C19" s="27" t="s">
        <v>36</v>
      </c>
      <c r="D19" s="27" t="s">
        <v>37</v>
      </c>
      <c r="E19" s="27" t="s">
        <v>50</v>
      </c>
      <c r="F19" s="26" t="s">
        <v>50</v>
      </c>
      <c r="G19" s="37">
        <v>0.05</v>
      </c>
      <c r="H19" s="23">
        <v>6400000</v>
      </c>
      <c r="I19" s="23">
        <f t="shared" si="3"/>
        <v>6720000</v>
      </c>
      <c r="J19" s="28">
        <v>0.05</v>
      </c>
      <c r="K19" s="30">
        <v>6400000</v>
      </c>
      <c r="L19" s="23">
        <f t="shared" si="4"/>
        <v>6720000</v>
      </c>
      <c r="M19" s="28">
        <v>0.05</v>
      </c>
      <c r="N19" s="30">
        <v>6400000</v>
      </c>
      <c r="O19" s="24">
        <f t="shared" si="5"/>
        <v>6720000</v>
      </c>
      <c r="P19" s="28">
        <v>0.05</v>
      </c>
      <c r="Q19" s="30">
        <f>VLOOKUP(F19,'[5]Price List - w.e.f 1st Jul'!$I$24:$J$43,2,0)</f>
        <v>6400000</v>
      </c>
      <c r="R19" s="16">
        <f t="shared" si="6"/>
        <v>6720000</v>
      </c>
      <c r="S19" s="28">
        <v>0.05</v>
      </c>
      <c r="T19" s="29">
        <v>6400000</v>
      </c>
      <c r="U19" s="16">
        <f t="shared" si="7"/>
        <v>6720000</v>
      </c>
      <c r="V19" s="28">
        <v>0.05</v>
      </c>
      <c r="W19" s="29">
        <v>6400000</v>
      </c>
      <c r="X19" s="29">
        <f t="shared" si="8"/>
        <v>6720000</v>
      </c>
      <c r="Y19" s="28">
        <v>0.05</v>
      </c>
      <c r="Z19" s="43">
        <f t="shared" si="0"/>
        <v>6400000</v>
      </c>
      <c r="AA19" s="60">
        <v>6720000</v>
      </c>
      <c r="AB19" s="7">
        <f t="shared" si="2"/>
        <v>6720000</v>
      </c>
      <c r="AC19" s="7">
        <f t="shared" si="1"/>
        <v>0</v>
      </c>
    </row>
    <row r="20" spans="1:29" s="8" customFormat="1" ht="22.7" customHeight="1">
      <c r="A20" s="63" t="s">
        <v>21</v>
      </c>
      <c r="B20" s="25" t="s">
        <v>51</v>
      </c>
      <c r="C20" s="27" t="s">
        <v>36</v>
      </c>
      <c r="D20" s="27" t="s">
        <v>37</v>
      </c>
      <c r="E20" s="27" t="s">
        <v>52</v>
      </c>
      <c r="F20" s="26" t="s">
        <v>52</v>
      </c>
      <c r="G20" s="37">
        <v>0.05</v>
      </c>
      <c r="H20" s="23">
        <v>6876190.4761904757</v>
      </c>
      <c r="I20" s="23">
        <f t="shared" si="3"/>
        <v>7220000</v>
      </c>
      <c r="J20" s="28">
        <v>0.05</v>
      </c>
      <c r="K20" s="30">
        <v>6876190.4761904757</v>
      </c>
      <c r="L20" s="23">
        <f t="shared" si="4"/>
        <v>7220000</v>
      </c>
      <c r="M20" s="28">
        <v>0.05</v>
      </c>
      <c r="N20" s="30">
        <v>6876190.4761904757</v>
      </c>
      <c r="O20" s="24">
        <f t="shared" si="5"/>
        <v>7220000</v>
      </c>
      <c r="P20" s="28">
        <v>0.05</v>
      </c>
      <c r="Q20" s="30">
        <f>VLOOKUP(F20,'[5]Price List - w.e.f 1st Jul'!$I$24:$J$43,2,0)</f>
        <v>6876190.4761904757</v>
      </c>
      <c r="R20" s="16">
        <f t="shared" si="6"/>
        <v>7220000</v>
      </c>
      <c r="S20" s="28">
        <v>0.05</v>
      </c>
      <c r="T20" s="29">
        <v>6876190.4761904757</v>
      </c>
      <c r="U20" s="16">
        <f t="shared" si="7"/>
        <v>7220000</v>
      </c>
      <c r="V20" s="28">
        <v>0.05</v>
      </c>
      <c r="W20" s="29">
        <v>6876190.4761904757</v>
      </c>
      <c r="X20" s="29">
        <f t="shared" si="8"/>
        <v>7220000</v>
      </c>
      <c r="Y20" s="28">
        <v>0.05</v>
      </c>
      <c r="Z20" s="43">
        <f t="shared" si="0"/>
        <v>6876190.4761904757</v>
      </c>
      <c r="AA20" s="60">
        <v>7220000</v>
      </c>
      <c r="AB20" s="7">
        <f t="shared" si="2"/>
        <v>7220000</v>
      </c>
      <c r="AC20" s="7">
        <f t="shared" si="1"/>
        <v>0</v>
      </c>
    </row>
    <row r="21" spans="1:29" s="8" customFormat="1" ht="22.7" customHeight="1">
      <c r="A21" s="59" t="s">
        <v>53</v>
      </c>
      <c r="B21" s="13" t="s">
        <v>54</v>
      </c>
      <c r="C21" s="13" t="s">
        <v>36</v>
      </c>
      <c r="D21" s="13" t="s">
        <v>24</v>
      </c>
      <c r="E21" s="13" t="s">
        <v>55</v>
      </c>
      <c r="F21" s="14" t="s">
        <v>56</v>
      </c>
      <c r="G21" s="21">
        <v>0.48</v>
      </c>
      <c r="H21" s="23">
        <v>8175675.6756756762</v>
      </c>
      <c r="I21" s="23">
        <f t="shared" si="3"/>
        <v>12100000</v>
      </c>
      <c r="J21" s="21">
        <v>0.48</v>
      </c>
      <c r="K21" s="23">
        <v>8175675.6756756762</v>
      </c>
      <c r="L21" s="23">
        <f t="shared" si="4"/>
        <v>12100000</v>
      </c>
      <c r="M21" s="20">
        <v>0.48</v>
      </c>
      <c r="N21" s="24">
        <v>8175675.6756756762</v>
      </c>
      <c r="O21" s="24">
        <f t="shared" si="5"/>
        <v>12100000</v>
      </c>
      <c r="P21" s="15">
        <v>0.48</v>
      </c>
      <c r="Q21" s="16">
        <v>5405405.4054054059</v>
      </c>
      <c r="R21" s="17">
        <f t="shared" si="6"/>
        <v>8000000.0000000009</v>
      </c>
      <c r="S21" s="15">
        <v>0.4</v>
      </c>
      <c r="T21" s="16">
        <f>U21/(1+S21)</f>
        <v>5405405.4054054059</v>
      </c>
      <c r="U21" s="16">
        <f t="shared" si="7"/>
        <v>7567567.5675675673</v>
      </c>
      <c r="V21" s="15">
        <v>0.4</v>
      </c>
      <c r="W21" s="16">
        <v>5405405.4054054059</v>
      </c>
      <c r="X21" s="16">
        <f t="shared" si="8"/>
        <v>7567567.5675675673</v>
      </c>
      <c r="Y21" s="15">
        <v>0.4</v>
      </c>
      <c r="Z21" s="43">
        <f t="shared" si="0"/>
        <v>5405405.4054054059</v>
      </c>
      <c r="AA21" s="60">
        <v>7567567.5675675673</v>
      </c>
      <c r="AB21" s="7">
        <f t="shared" si="2"/>
        <v>7567567.5675675673</v>
      </c>
      <c r="AC21" s="7">
        <f t="shared" si="1"/>
        <v>0</v>
      </c>
    </row>
    <row r="22" spans="1:29" s="8" customFormat="1" ht="22.7" customHeight="1">
      <c r="A22" s="59" t="s">
        <v>40</v>
      </c>
      <c r="B22" s="13" t="s">
        <v>57</v>
      </c>
      <c r="C22" s="13" t="s">
        <v>23</v>
      </c>
      <c r="D22" s="13" t="s">
        <v>24</v>
      </c>
      <c r="E22" s="13" t="s">
        <v>58</v>
      </c>
      <c r="F22" s="14" t="s">
        <v>59</v>
      </c>
      <c r="G22" s="21">
        <v>0.5</v>
      </c>
      <c r="H22" s="23">
        <v>5186666.666666667</v>
      </c>
      <c r="I22" s="23">
        <f t="shared" si="3"/>
        <v>7780000</v>
      </c>
      <c r="J22" s="21">
        <v>0.5</v>
      </c>
      <c r="K22" s="23">
        <v>5186666.666666667</v>
      </c>
      <c r="L22" s="23">
        <f t="shared" si="4"/>
        <v>7780000</v>
      </c>
      <c r="M22" s="20">
        <v>0.5</v>
      </c>
      <c r="N22" s="24">
        <v>5220000</v>
      </c>
      <c r="O22" s="24">
        <f t="shared" si="5"/>
        <v>7830000</v>
      </c>
      <c r="P22" s="15">
        <v>0.5</v>
      </c>
      <c r="Q22" s="16">
        <v>5283333.333333333</v>
      </c>
      <c r="R22" s="17">
        <f t="shared" si="6"/>
        <v>7925000</v>
      </c>
      <c r="S22" s="15">
        <v>0.4</v>
      </c>
      <c r="T22" s="16">
        <f>U22/(1+S22)</f>
        <v>5283333.333333333</v>
      </c>
      <c r="U22" s="16">
        <f t="shared" si="7"/>
        <v>7396666.666666666</v>
      </c>
      <c r="V22" s="15">
        <v>0.4</v>
      </c>
      <c r="W22" s="16">
        <v>5392857.1428571437</v>
      </c>
      <c r="X22" s="16">
        <f t="shared" si="8"/>
        <v>7550000.0000000009</v>
      </c>
      <c r="Y22" s="15">
        <v>0.4</v>
      </c>
      <c r="Z22" s="43">
        <f t="shared" si="0"/>
        <v>5500000</v>
      </c>
      <c r="AA22" s="60">
        <f>7700000</f>
        <v>7700000</v>
      </c>
      <c r="AB22" s="7">
        <f t="shared" si="2"/>
        <v>7699999.9999999991</v>
      </c>
      <c r="AC22" s="7">
        <f t="shared" si="1"/>
        <v>0</v>
      </c>
    </row>
    <row r="23" spans="1:29" s="8" customFormat="1" ht="22.7" customHeight="1">
      <c r="A23" s="59" t="s">
        <v>40</v>
      </c>
      <c r="B23" s="13" t="s">
        <v>57</v>
      </c>
      <c r="C23" s="13" t="s">
        <v>23</v>
      </c>
      <c r="D23" s="13" t="s">
        <v>24</v>
      </c>
      <c r="E23" s="13" t="s">
        <v>60</v>
      </c>
      <c r="F23" s="14" t="s">
        <v>61</v>
      </c>
      <c r="G23" s="21">
        <v>0.5</v>
      </c>
      <c r="H23" s="23">
        <v>5120000</v>
      </c>
      <c r="I23" s="23">
        <f t="shared" si="3"/>
        <v>7680000</v>
      </c>
      <c r="J23" s="21">
        <v>0.5</v>
      </c>
      <c r="K23" s="23">
        <v>5120000</v>
      </c>
      <c r="L23" s="23">
        <f t="shared" si="4"/>
        <v>7680000</v>
      </c>
      <c r="M23" s="20">
        <v>0.5</v>
      </c>
      <c r="N23" s="24">
        <v>5220000</v>
      </c>
      <c r="O23" s="24">
        <f t="shared" si="5"/>
        <v>7830000</v>
      </c>
      <c r="P23" s="15">
        <v>0.5</v>
      </c>
      <c r="Q23" s="16">
        <v>5283333.333333333</v>
      </c>
      <c r="R23" s="17">
        <f t="shared" si="6"/>
        <v>7925000</v>
      </c>
      <c r="S23" s="15">
        <v>0.4</v>
      </c>
      <c r="T23" s="16">
        <f>U23/(1+S23)</f>
        <v>5283333.333333333</v>
      </c>
      <c r="U23" s="16">
        <f t="shared" si="7"/>
        <v>7396666.666666666</v>
      </c>
      <c r="V23" s="15">
        <v>0.4</v>
      </c>
      <c r="W23" s="16">
        <v>5392857.1428571437</v>
      </c>
      <c r="X23" s="16">
        <f t="shared" si="8"/>
        <v>7550000.0000000009</v>
      </c>
      <c r="Y23" s="15">
        <v>0.4</v>
      </c>
      <c r="Z23" s="43">
        <f t="shared" si="0"/>
        <v>5500000</v>
      </c>
      <c r="AA23" s="60">
        <f>7700000</f>
        <v>7700000</v>
      </c>
      <c r="AB23" s="7">
        <f t="shared" si="2"/>
        <v>7699999.9999999991</v>
      </c>
      <c r="AC23" s="7">
        <f t="shared" si="1"/>
        <v>0</v>
      </c>
    </row>
    <row r="24" spans="1:29" s="12" customFormat="1" ht="22.7" customHeight="1">
      <c r="A24" s="64" t="s">
        <v>21</v>
      </c>
      <c r="B24" s="48" t="s">
        <v>51</v>
      </c>
      <c r="C24" s="47" t="s">
        <v>36</v>
      </c>
      <c r="D24" s="47" t="s">
        <v>37</v>
      </c>
      <c r="E24" s="47" t="s">
        <v>62</v>
      </c>
      <c r="F24" s="49" t="s">
        <v>63</v>
      </c>
      <c r="G24" s="50">
        <v>0.05</v>
      </c>
      <c r="H24" s="44">
        <v>7514285.7142857136</v>
      </c>
      <c r="I24" s="44">
        <f t="shared" si="3"/>
        <v>7890000</v>
      </c>
      <c r="J24" s="51">
        <v>0.05</v>
      </c>
      <c r="K24" s="52">
        <v>7514285.7142857136</v>
      </c>
      <c r="L24" s="44">
        <f t="shared" si="4"/>
        <v>7890000</v>
      </c>
      <c r="M24" s="51">
        <v>0.05</v>
      </c>
      <c r="N24" s="52">
        <v>7514285.7142857136</v>
      </c>
      <c r="O24" s="45">
        <f t="shared" si="5"/>
        <v>7890000</v>
      </c>
      <c r="P24" s="51">
        <v>0.05</v>
      </c>
      <c r="Q24" s="52">
        <f>VLOOKUP(F24,'[5]Price List - w.e.f 1st Jul'!$I$24:$J$43,2,0)</f>
        <v>7514285.7142857136</v>
      </c>
      <c r="R24" s="17">
        <f t="shared" si="6"/>
        <v>7890000</v>
      </c>
      <c r="S24" s="51">
        <v>0.05</v>
      </c>
      <c r="T24" s="53">
        <v>7514285.7142857136</v>
      </c>
      <c r="U24" s="17">
        <f t="shared" si="7"/>
        <v>7890000</v>
      </c>
      <c r="V24" s="51">
        <v>0.05</v>
      </c>
      <c r="W24" s="53">
        <v>7514285.7142857136</v>
      </c>
      <c r="X24" s="53">
        <f t="shared" si="8"/>
        <v>7890000</v>
      </c>
      <c r="Y24" s="51">
        <v>0.05</v>
      </c>
      <c r="Z24" s="46">
        <f t="shared" si="0"/>
        <v>7514285.7142857136</v>
      </c>
      <c r="AA24" s="62">
        <v>7890000</v>
      </c>
      <c r="AB24" s="7">
        <f t="shared" si="2"/>
        <v>7890000</v>
      </c>
      <c r="AC24" s="7">
        <f t="shared" si="1"/>
        <v>0</v>
      </c>
    </row>
    <row r="25" spans="1:29" s="12" customFormat="1" ht="22.7" customHeight="1">
      <c r="A25" s="61" t="s">
        <v>40</v>
      </c>
      <c r="B25" s="18" t="s">
        <v>64</v>
      </c>
      <c r="C25" s="18" t="s">
        <v>23</v>
      </c>
      <c r="D25" s="18" t="s">
        <v>24</v>
      </c>
      <c r="E25" s="18" t="s">
        <v>65</v>
      </c>
      <c r="F25" s="19" t="s">
        <v>66</v>
      </c>
      <c r="G25" s="22">
        <v>0.48</v>
      </c>
      <c r="H25" s="44">
        <v>5304054.0540540544</v>
      </c>
      <c r="I25" s="44">
        <f t="shared" si="3"/>
        <v>7850000</v>
      </c>
      <c r="J25" s="22">
        <v>0.48</v>
      </c>
      <c r="K25" s="44">
        <v>5371621.6216216218</v>
      </c>
      <c r="L25" s="44">
        <f t="shared" si="4"/>
        <v>7950000</v>
      </c>
      <c r="M25" s="20">
        <v>0.48</v>
      </c>
      <c r="N25" s="45">
        <v>5506756.7567567565</v>
      </c>
      <c r="O25" s="45">
        <f t="shared" si="5"/>
        <v>8149999.9999999991</v>
      </c>
      <c r="P25" s="20">
        <v>0.48</v>
      </c>
      <c r="Q25" s="17">
        <v>5608108.1081081089</v>
      </c>
      <c r="R25" s="17">
        <f t="shared" si="6"/>
        <v>8300000.0000000009</v>
      </c>
      <c r="S25" s="20">
        <v>0.4</v>
      </c>
      <c r="T25" s="17">
        <f t="shared" ref="T25:T34" si="9">U25/(1+S25)</f>
        <v>5608108.1081081089</v>
      </c>
      <c r="U25" s="17">
        <f t="shared" si="7"/>
        <v>7851351.3513513515</v>
      </c>
      <c r="V25" s="20">
        <v>0.4</v>
      </c>
      <c r="W25" s="17">
        <v>5714285.7142857146</v>
      </c>
      <c r="X25" s="17">
        <f t="shared" si="8"/>
        <v>8000000</v>
      </c>
      <c r="Y25" s="20">
        <v>0.4</v>
      </c>
      <c r="Z25" s="46">
        <f t="shared" si="0"/>
        <v>5821428.5714285718</v>
      </c>
      <c r="AA25" s="62">
        <v>8150000</v>
      </c>
      <c r="AB25" s="7">
        <f t="shared" si="2"/>
        <v>8150000</v>
      </c>
      <c r="AC25" s="7">
        <f t="shared" si="1"/>
        <v>0</v>
      </c>
    </row>
    <row r="26" spans="1:29" s="12" customFormat="1" ht="22.7" customHeight="1">
      <c r="A26" s="61" t="s">
        <v>40</v>
      </c>
      <c r="B26" s="18" t="s">
        <v>64</v>
      </c>
      <c r="C26" s="18" t="s">
        <v>23</v>
      </c>
      <c r="D26" s="18" t="s">
        <v>24</v>
      </c>
      <c r="E26" s="18" t="s">
        <v>67</v>
      </c>
      <c r="F26" s="19" t="s">
        <v>68</v>
      </c>
      <c r="G26" s="22">
        <v>0.48</v>
      </c>
      <c r="H26" s="44">
        <v>5506756.7567567565</v>
      </c>
      <c r="I26" s="44">
        <f t="shared" si="3"/>
        <v>8149999.9999999991</v>
      </c>
      <c r="J26" s="22">
        <v>0.48</v>
      </c>
      <c r="K26" s="44">
        <v>5574324.3243243247</v>
      </c>
      <c r="L26" s="44">
        <f t="shared" si="4"/>
        <v>8250000.0000000009</v>
      </c>
      <c r="M26" s="20">
        <v>0.48</v>
      </c>
      <c r="N26" s="45">
        <v>5675675.6756756762</v>
      </c>
      <c r="O26" s="45">
        <f t="shared" si="5"/>
        <v>8400000</v>
      </c>
      <c r="P26" s="20">
        <v>0.48</v>
      </c>
      <c r="Q26" s="17">
        <v>5743243.2432432426</v>
      </c>
      <c r="R26" s="17">
        <f t="shared" si="6"/>
        <v>8499999.9999999981</v>
      </c>
      <c r="S26" s="20">
        <v>0.4</v>
      </c>
      <c r="T26" s="17">
        <f t="shared" si="9"/>
        <v>5743243.2432432426</v>
      </c>
      <c r="U26" s="17">
        <f t="shared" si="7"/>
        <v>8040540.5405405387</v>
      </c>
      <c r="V26" s="20">
        <v>0.4</v>
      </c>
      <c r="W26" s="17">
        <v>5857142.8571428573</v>
      </c>
      <c r="X26" s="17">
        <f t="shared" si="8"/>
        <v>8200000</v>
      </c>
      <c r="Y26" s="20">
        <v>0.4</v>
      </c>
      <c r="Z26" s="46">
        <f t="shared" si="0"/>
        <v>5964285.7142857146</v>
      </c>
      <c r="AA26" s="62">
        <v>8350000</v>
      </c>
      <c r="AB26" s="7">
        <f t="shared" si="2"/>
        <v>8350000</v>
      </c>
      <c r="AC26" s="7">
        <f t="shared" si="1"/>
        <v>0</v>
      </c>
    </row>
    <row r="27" spans="1:29" s="12" customFormat="1" ht="22.7" customHeight="1">
      <c r="A27" s="59" t="s">
        <v>53</v>
      </c>
      <c r="B27" s="13" t="s">
        <v>69</v>
      </c>
      <c r="C27" s="13" t="s">
        <v>36</v>
      </c>
      <c r="D27" s="13" t="s">
        <v>24</v>
      </c>
      <c r="E27" s="13" t="s">
        <v>70</v>
      </c>
      <c r="F27" s="14" t="s">
        <v>71</v>
      </c>
      <c r="G27" s="21">
        <v>0.48</v>
      </c>
      <c r="H27" s="23">
        <v>6716216.2162162159</v>
      </c>
      <c r="I27" s="23">
        <f t="shared" si="3"/>
        <v>9940000</v>
      </c>
      <c r="J27" s="21">
        <v>0.48</v>
      </c>
      <c r="K27" s="23">
        <v>6716216.2162162159</v>
      </c>
      <c r="L27" s="23">
        <f t="shared" si="4"/>
        <v>9940000</v>
      </c>
      <c r="M27" s="20">
        <v>0.48</v>
      </c>
      <c r="N27" s="24">
        <v>6716216.2162162159</v>
      </c>
      <c r="O27" s="24">
        <f t="shared" si="5"/>
        <v>9940000</v>
      </c>
      <c r="P27" s="15">
        <v>0.48</v>
      </c>
      <c r="Q27" s="16">
        <v>6716216.2162162159</v>
      </c>
      <c r="R27" s="17">
        <f t="shared" si="6"/>
        <v>9940000</v>
      </c>
      <c r="S27" s="15">
        <v>0.4</v>
      </c>
      <c r="T27" s="16">
        <f t="shared" si="9"/>
        <v>6716216.2162162159</v>
      </c>
      <c r="U27" s="16">
        <f t="shared" si="7"/>
        <v>9402702.7027027011</v>
      </c>
      <c r="V27" s="15">
        <v>0.4</v>
      </c>
      <c r="W27" s="16">
        <v>6717857.1428571437</v>
      </c>
      <c r="X27" s="16">
        <f t="shared" si="8"/>
        <v>9405000</v>
      </c>
      <c r="Y27" s="15">
        <v>0.4</v>
      </c>
      <c r="Z27" s="43">
        <f t="shared" si="0"/>
        <v>6717857.1428571437</v>
      </c>
      <c r="AA27" s="60">
        <v>9405000</v>
      </c>
      <c r="AB27" s="7">
        <f t="shared" si="2"/>
        <v>9405000</v>
      </c>
      <c r="AC27" s="7">
        <f t="shared" si="1"/>
        <v>0</v>
      </c>
    </row>
    <row r="28" spans="1:29" s="8" customFormat="1" ht="22.7" customHeight="1">
      <c r="A28" s="61" t="s">
        <v>40</v>
      </c>
      <c r="B28" s="18" t="s">
        <v>64</v>
      </c>
      <c r="C28" s="18" t="s">
        <v>23</v>
      </c>
      <c r="D28" s="18" t="s">
        <v>24</v>
      </c>
      <c r="E28" s="18" t="s">
        <v>72</v>
      </c>
      <c r="F28" s="19" t="s">
        <v>73</v>
      </c>
      <c r="G28" s="22">
        <v>0.48</v>
      </c>
      <c r="H28" s="44">
        <v>6250000</v>
      </c>
      <c r="I28" s="44">
        <f t="shared" si="3"/>
        <v>9250000</v>
      </c>
      <c r="J28" s="22">
        <v>0.48</v>
      </c>
      <c r="K28" s="44">
        <v>6250000</v>
      </c>
      <c r="L28" s="44">
        <f t="shared" si="4"/>
        <v>9250000</v>
      </c>
      <c r="M28" s="20">
        <v>0.48</v>
      </c>
      <c r="N28" s="45">
        <v>6385135.1351351356</v>
      </c>
      <c r="O28" s="45">
        <f t="shared" si="5"/>
        <v>9450000</v>
      </c>
      <c r="P28" s="20">
        <v>0.48</v>
      </c>
      <c r="Q28" s="17">
        <v>6547297.2972972961</v>
      </c>
      <c r="R28" s="17">
        <f t="shared" si="6"/>
        <v>9689999.9999999981</v>
      </c>
      <c r="S28" s="20">
        <v>0.4</v>
      </c>
      <c r="T28" s="17">
        <f t="shared" si="9"/>
        <v>6547297.2972972961</v>
      </c>
      <c r="U28" s="17">
        <f t="shared" si="7"/>
        <v>9166216.216216214</v>
      </c>
      <c r="V28" s="20">
        <v>0.4</v>
      </c>
      <c r="W28" s="17">
        <v>6678571.4285714291</v>
      </c>
      <c r="X28" s="17">
        <f t="shared" si="8"/>
        <v>9350000</v>
      </c>
      <c r="Y28" s="20">
        <v>0.4</v>
      </c>
      <c r="Z28" s="46">
        <f t="shared" si="0"/>
        <v>6821428.5714285718</v>
      </c>
      <c r="AA28" s="62">
        <v>9550000</v>
      </c>
      <c r="AB28" s="7">
        <f t="shared" si="2"/>
        <v>9550000</v>
      </c>
      <c r="AC28" s="7">
        <f t="shared" si="1"/>
        <v>0</v>
      </c>
    </row>
    <row r="29" spans="1:29" s="8" customFormat="1" ht="22.7" customHeight="1">
      <c r="A29" s="59" t="s">
        <v>53</v>
      </c>
      <c r="B29" s="13" t="s">
        <v>74</v>
      </c>
      <c r="C29" s="13" t="s">
        <v>36</v>
      </c>
      <c r="D29" s="13" t="s">
        <v>24</v>
      </c>
      <c r="E29" s="13" t="s">
        <v>75</v>
      </c>
      <c r="F29" s="14" t="s">
        <v>76</v>
      </c>
      <c r="G29" s="21">
        <v>0.48</v>
      </c>
      <c r="H29" s="23">
        <v>7520270.2702702703</v>
      </c>
      <c r="I29" s="23">
        <f t="shared" si="3"/>
        <v>11130000</v>
      </c>
      <c r="J29" s="21">
        <v>0.48</v>
      </c>
      <c r="K29" s="23">
        <v>7520270.2702702703</v>
      </c>
      <c r="L29" s="23">
        <f t="shared" si="4"/>
        <v>11130000</v>
      </c>
      <c r="M29" s="20">
        <v>0.48</v>
      </c>
      <c r="N29" s="24">
        <v>7770270.2702702703</v>
      </c>
      <c r="O29" s="24">
        <f t="shared" si="5"/>
        <v>11500000</v>
      </c>
      <c r="P29" s="15">
        <v>0.48</v>
      </c>
      <c r="Q29" s="16">
        <v>7094594.594594595</v>
      </c>
      <c r="R29" s="17">
        <f t="shared" si="6"/>
        <v>10500000</v>
      </c>
      <c r="S29" s="15">
        <v>0.4</v>
      </c>
      <c r="T29" s="16">
        <f t="shared" si="9"/>
        <v>7094594.5945945941</v>
      </c>
      <c r="U29" s="16">
        <f t="shared" si="7"/>
        <v>9932432.4324324317</v>
      </c>
      <c r="V29" s="15">
        <v>0.4</v>
      </c>
      <c r="W29" s="16">
        <v>7096428.5714285718</v>
      </c>
      <c r="X29" s="16">
        <f t="shared" si="8"/>
        <v>9935000</v>
      </c>
      <c r="Y29" s="15">
        <v>0.4</v>
      </c>
      <c r="Z29" s="43">
        <f t="shared" si="0"/>
        <v>7096428.5714285718</v>
      </c>
      <c r="AA29" s="60">
        <v>9935000</v>
      </c>
      <c r="AB29" s="7">
        <f t="shared" si="2"/>
        <v>9935000</v>
      </c>
      <c r="AC29" s="7">
        <f t="shared" si="1"/>
        <v>0</v>
      </c>
    </row>
    <row r="30" spans="1:29" s="8" customFormat="1" ht="22.7" customHeight="1">
      <c r="A30" s="59" t="s">
        <v>40</v>
      </c>
      <c r="B30" s="13" t="s">
        <v>77</v>
      </c>
      <c r="C30" s="13" t="s">
        <v>23</v>
      </c>
      <c r="D30" s="13" t="s">
        <v>24</v>
      </c>
      <c r="E30" s="13" t="s">
        <v>78</v>
      </c>
      <c r="F30" s="14" t="s">
        <v>79</v>
      </c>
      <c r="G30" s="21">
        <v>0.5</v>
      </c>
      <c r="H30" s="23">
        <v>6600000</v>
      </c>
      <c r="I30" s="23">
        <f t="shared" si="3"/>
        <v>9900000</v>
      </c>
      <c r="J30" s="21">
        <v>0.5</v>
      </c>
      <c r="K30" s="23">
        <v>6600000</v>
      </c>
      <c r="L30" s="23">
        <f t="shared" si="4"/>
        <v>9900000</v>
      </c>
      <c r="M30" s="20">
        <v>0.5</v>
      </c>
      <c r="N30" s="24">
        <v>6766666.666666667</v>
      </c>
      <c r="O30" s="24">
        <f t="shared" si="5"/>
        <v>10150000</v>
      </c>
      <c r="P30" s="15">
        <v>0.5</v>
      </c>
      <c r="Q30" s="16">
        <v>6867490</v>
      </c>
      <c r="R30" s="16">
        <f>Q30*(1+P30)-1235</f>
        <v>10300000</v>
      </c>
      <c r="S30" s="15">
        <v>0.4</v>
      </c>
      <c r="T30" s="16">
        <f t="shared" si="9"/>
        <v>6867490</v>
      </c>
      <c r="U30" s="16">
        <f t="shared" si="7"/>
        <v>9614486</v>
      </c>
      <c r="V30" s="15">
        <v>0.4</v>
      </c>
      <c r="W30" s="16">
        <v>7000000</v>
      </c>
      <c r="X30" s="16">
        <f t="shared" si="8"/>
        <v>9800000</v>
      </c>
      <c r="Y30" s="15">
        <v>0.4</v>
      </c>
      <c r="Z30" s="43">
        <f t="shared" si="0"/>
        <v>7142857.1428571437</v>
      </c>
      <c r="AA30" s="60">
        <f>10000000</f>
        <v>10000000</v>
      </c>
      <c r="AB30" s="7">
        <f t="shared" si="2"/>
        <v>10000000</v>
      </c>
      <c r="AC30" s="7">
        <f t="shared" si="1"/>
        <v>0</v>
      </c>
    </row>
    <row r="31" spans="1:29" s="8" customFormat="1" ht="22.7" customHeight="1">
      <c r="A31" s="59" t="s">
        <v>40</v>
      </c>
      <c r="B31" s="13" t="s">
        <v>77</v>
      </c>
      <c r="C31" s="13" t="s">
        <v>23</v>
      </c>
      <c r="D31" s="13" t="s">
        <v>24</v>
      </c>
      <c r="E31" s="13" t="s">
        <v>80</v>
      </c>
      <c r="F31" s="14" t="s">
        <v>81</v>
      </c>
      <c r="G31" s="21">
        <v>0.5</v>
      </c>
      <c r="H31" s="23">
        <v>7440000</v>
      </c>
      <c r="I31" s="23">
        <f t="shared" si="3"/>
        <v>11160000</v>
      </c>
      <c r="J31" s="21">
        <v>0.5</v>
      </c>
      <c r="K31" s="23">
        <v>7440000</v>
      </c>
      <c r="L31" s="23">
        <f t="shared" si="4"/>
        <v>11160000</v>
      </c>
      <c r="M31" s="20">
        <v>0.5</v>
      </c>
      <c r="N31" s="24">
        <v>7600000</v>
      </c>
      <c r="O31" s="24">
        <f t="shared" si="5"/>
        <v>11400000</v>
      </c>
      <c r="P31" s="15">
        <v>0.5</v>
      </c>
      <c r="Q31" s="16">
        <v>7666666.666666667</v>
      </c>
      <c r="R31" s="16">
        <f t="shared" ref="R31:R38" si="10">Q31*(1+P31)</f>
        <v>11500000</v>
      </c>
      <c r="S31" s="15">
        <v>0.4</v>
      </c>
      <c r="T31" s="16">
        <f t="shared" si="9"/>
        <v>7666666.6666666679</v>
      </c>
      <c r="U31" s="16">
        <f t="shared" si="7"/>
        <v>10733333.333333334</v>
      </c>
      <c r="V31" s="15">
        <v>0.4</v>
      </c>
      <c r="W31" s="16">
        <v>7821428.5714285718</v>
      </c>
      <c r="X31" s="16">
        <f t="shared" si="8"/>
        <v>10950000</v>
      </c>
      <c r="Y31" s="15">
        <v>0.4</v>
      </c>
      <c r="Z31" s="43">
        <f t="shared" si="0"/>
        <v>7964285.7142857146</v>
      </c>
      <c r="AA31" s="60">
        <f>11150000</f>
        <v>11150000</v>
      </c>
      <c r="AB31" s="7">
        <f t="shared" si="2"/>
        <v>11150000</v>
      </c>
      <c r="AC31" s="7">
        <f t="shared" si="1"/>
        <v>0</v>
      </c>
    </row>
    <row r="32" spans="1:29" s="8" customFormat="1" ht="22.7" customHeight="1">
      <c r="A32" s="59" t="s">
        <v>40</v>
      </c>
      <c r="B32" s="13" t="s">
        <v>82</v>
      </c>
      <c r="C32" s="13" t="s">
        <v>36</v>
      </c>
      <c r="D32" s="13" t="s">
        <v>24</v>
      </c>
      <c r="E32" s="13" t="s">
        <v>83</v>
      </c>
      <c r="F32" s="14" t="s">
        <v>84</v>
      </c>
      <c r="G32" s="21">
        <v>0.48</v>
      </c>
      <c r="H32" s="23">
        <v>7520270.2702702703</v>
      </c>
      <c r="I32" s="23">
        <f t="shared" si="3"/>
        <v>11130000</v>
      </c>
      <c r="J32" s="21">
        <v>0.48</v>
      </c>
      <c r="K32" s="23">
        <v>7520270.2702702703</v>
      </c>
      <c r="L32" s="23">
        <f t="shared" si="4"/>
        <v>11130000</v>
      </c>
      <c r="M32" s="20">
        <v>0.48</v>
      </c>
      <c r="N32" s="24">
        <v>7770270.2702702703</v>
      </c>
      <c r="O32" s="24">
        <f t="shared" si="5"/>
        <v>11500000</v>
      </c>
      <c r="P32" s="15">
        <v>0.48</v>
      </c>
      <c r="Q32" s="16">
        <v>7905405.405405405</v>
      </c>
      <c r="R32" s="16">
        <f t="shared" si="10"/>
        <v>11700000</v>
      </c>
      <c r="S32" s="15">
        <v>0.4</v>
      </c>
      <c r="T32" s="16">
        <f t="shared" si="9"/>
        <v>7905405.405405405</v>
      </c>
      <c r="U32" s="16">
        <f t="shared" si="7"/>
        <v>11067567.567567566</v>
      </c>
      <c r="V32" s="15">
        <v>0.4</v>
      </c>
      <c r="W32" s="16">
        <v>8064285.7142857146</v>
      </c>
      <c r="X32" s="16">
        <f t="shared" si="8"/>
        <v>11290000</v>
      </c>
      <c r="Y32" s="15">
        <v>0.4</v>
      </c>
      <c r="Z32" s="43">
        <f t="shared" si="0"/>
        <v>8214285.7142857146</v>
      </c>
      <c r="AA32" s="60">
        <f>11500000</f>
        <v>11500000</v>
      </c>
      <c r="AB32" s="7">
        <f t="shared" si="2"/>
        <v>11500000</v>
      </c>
      <c r="AC32" s="7">
        <f t="shared" si="1"/>
        <v>0</v>
      </c>
    </row>
    <row r="33" spans="1:29" s="8" customFormat="1" ht="22.7" customHeight="1">
      <c r="A33" s="59" t="s">
        <v>40</v>
      </c>
      <c r="B33" s="13" t="s">
        <v>77</v>
      </c>
      <c r="C33" s="13" t="s">
        <v>23</v>
      </c>
      <c r="D33" s="13" t="s">
        <v>24</v>
      </c>
      <c r="E33" s="13" t="s">
        <v>85</v>
      </c>
      <c r="F33" s="14" t="s">
        <v>86</v>
      </c>
      <c r="G33" s="21">
        <v>0.5</v>
      </c>
      <c r="H33" s="23">
        <v>7780000</v>
      </c>
      <c r="I33" s="23">
        <f t="shared" si="3"/>
        <v>11670000</v>
      </c>
      <c r="J33" s="21">
        <v>0.5</v>
      </c>
      <c r="K33" s="23">
        <v>7780000</v>
      </c>
      <c r="L33" s="23">
        <f t="shared" si="4"/>
        <v>11670000</v>
      </c>
      <c r="M33" s="20">
        <v>0.5</v>
      </c>
      <c r="N33" s="24">
        <v>7933333.333333333</v>
      </c>
      <c r="O33" s="24">
        <f t="shared" si="5"/>
        <v>11900000</v>
      </c>
      <c r="P33" s="15">
        <v>0.5</v>
      </c>
      <c r="Q33" s="16">
        <v>7999999.9999999991</v>
      </c>
      <c r="R33" s="16">
        <f t="shared" si="10"/>
        <v>11999999.999999998</v>
      </c>
      <c r="S33" s="15">
        <v>0.4</v>
      </c>
      <c r="T33" s="16">
        <f t="shared" si="9"/>
        <v>7999999.9999999991</v>
      </c>
      <c r="U33" s="16">
        <f t="shared" si="7"/>
        <v>11199999.999999998</v>
      </c>
      <c r="V33" s="15">
        <v>0.4</v>
      </c>
      <c r="W33" s="16">
        <v>8178571.4285714291</v>
      </c>
      <c r="X33" s="16">
        <f t="shared" si="8"/>
        <v>11450000</v>
      </c>
      <c r="Y33" s="15">
        <v>0.4</v>
      </c>
      <c r="Z33" s="43">
        <f t="shared" si="0"/>
        <v>8321428.5714285718</v>
      </c>
      <c r="AA33" s="60">
        <v>11650000</v>
      </c>
      <c r="AB33" s="7">
        <f t="shared" si="2"/>
        <v>11650000</v>
      </c>
      <c r="AC33" s="7">
        <f t="shared" si="1"/>
        <v>0</v>
      </c>
    </row>
    <row r="34" spans="1:29" s="8" customFormat="1" ht="22.7" customHeight="1">
      <c r="A34" s="59" t="s">
        <v>53</v>
      </c>
      <c r="B34" s="13" t="s">
        <v>87</v>
      </c>
      <c r="C34" s="13" t="s">
        <v>23</v>
      </c>
      <c r="D34" s="13" t="s">
        <v>24</v>
      </c>
      <c r="E34" s="13"/>
      <c r="F34" s="14" t="s">
        <v>88</v>
      </c>
      <c r="G34" s="21">
        <v>0.5</v>
      </c>
      <c r="H34" s="23">
        <v>8926666.666666666</v>
      </c>
      <c r="I34" s="23">
        <f t="shared" si="3"/>
        <v>13390000</v>
      </c>
      <c r="J34" s="21">
        <v>0.5</v>
      </c>
      <c r="K34" s="23">
        <v>8926666.666666666</v>
      </c>
      <c r="L34" s="23">
        <f t="shared" si="4"/>
        <v>13390000</v>
      </c>
      <c r="M34" s="20">
        <v>0.5</v>
      </c>
      <c r="N34" s="24">
        <v>9133333.333333334</v>
      </c>
      <c r="O34" s="24">
        <f t="shared" si="5"/>
        <v>13700000</v>
      </c>
      <c r="P34" s="15">
        <v>0.5</v>
      </c>
      <c r="Q34" s="16">
        <v>9133333</v>
      </c>
      <c r="R34" s="17">
        <f t="shared" si="10"/>
        <v>13699999.5</v>
      </c>
      <c r="S34" s="15">
        <v>0.4</v>
      </c>
      <c r="T34" s="16">
        <f t="shared" si="9"/>
        <v>9133333</v>
      </c>
      <c r="U34" s="16">
        <f t="shared" si="7"/>
        <v>12786666.199999999</v>
      </c>
      <c r="V34" s="15">
        <v>0.4</v>
      </c>
      <c r="W34" s="16">
        <v>9135714.2857142854</v>
      </c>
      <c r="X34" s="16">
        <f t="shared" si="8"/>
        <v>12789999.999999998</v>
      </c>
      <c r="Y34" s="15">
        <v>0.4</v>
      </c>
      <c r="Z34" s="43">
        <f t="shared" si="0"/>
        <v>9135714.2857142854</v>
      </c>
      <c r="AA34" s="60">
        <v>12789999.999999998</v>
      </c>
      <c r="AB34" s="7">
        <f t="shared" si="2"/>
        <v>12789999.999999998</v>
      </c>
      <c r="AC34" s="7">
        <f t="shared" si="1"/>
        <v>0</v>
      </c>
    </row>
    <row r="35" spans="1:29" s="12" customFormat="1" ht="22.7" customHeight="1">
      <c r="A35" s="63" t="s">
        <v>53</v>
      </c>
      <c r="B35" s="25" t="s">
        <v>89</v>
      </c>
      <c r="C35" s="27" t="s">
        <v>23</v>
      </c>
      <c r="D35" s="27" t="s">
        <v>37</v>
      </c>
      <c r="E35" s="27" t="s">
        <v>90</v>
      </c>
      <c r="F35" s="26" t="s">
        <v>91</v>
      </c>
      <c r="G35" s="37">
        <v>0.05</v>
      </c>
      <c r="H35" s="23">
        <v>15495238.095238095</v>
      </c>
      <c r="I35" s="23">
        <f t="shared" si="3"/>
        <v>16270000</v>
      </c>
      <c r="J35" s="28">
        <v>0.05</v>
      </c>
      <c r="K35" s="30">
        <v>15495238.095238095</v>
      </c>
      <c r="L35" s="23">
        <f t="shared" si="4"/>
        <v>16270000</v>
      </c>
      <c r="M35" s="28">
        <v>0.05</v>
      </c>
      <c r="N35" s="30">
        <v>15495238.095238095</v>
      </c>
      <c r="O35" s="24">
        <f t="shared" si="5"/>
        <v>16270000</v>
      </c>
      <c r="P35" s="28">
        <v>0.05</v>
      </c>
      <c r="Q35" s="30">
        <f>VLOOKUP(F35,'[5]Price List - w.e.f 1st Jul'!$I$24:$J$43,2,0)</f>
        <v>15495238.095238095</v>
      </c>
      <c r="R35" s="16">
        <f t="shared" si="10"/>
        <v>16270000</v>
      </c>
      <c r="S35" s="28">
        <v>0.05</v>
      </c>
      <c r="T35" s="29">
        <v>15495238.095238095</v>
      </c>
      <c r="U35" s="16">
        <f t="shared" si="7"/>
        <v>16270000</v>
      </c>
      <c r="V35" s="28">
        <v>0.05</v>
      </c>
      <c r="W35" s="16">
        <v>12380952.380952381</v>
      </c>
      <c r="X35" s="16">
        <f t="shared" si="8"/>
        <v>13000000</v>
      </c>
      <c r="Y35" s="28">
        <v>0.05</v>
      </c>
      <c r="Z35" s="43">
        <f t="shared" si="0"/>
        <v>12380952.380952381</v>
      </c>
      <c r="AA35" s="60">
        <v>13000000</v>
      </c>
      <c r="AB35" s="7">
        <f t="shared" si="2"/>
        <v>13000000</v>
      </c>
      <c r="AC35" s="7">
        <f t="shared" si="1"/>
        <v>0</v>
      </c>
    </row>
    <row r="36" spans="1:29" s="8" customFormat="1" ht="22.7" customHeight="1">
      <c r="A36" s="61" t="s">
        <v>53</v>
      </c>
      <c r="B36" s="18" t="s">
        <v>92</v>
      </c>
      <c r="C36" s="18" t="s">
        <v>36</v>
      </c>
      <c r="D36" s="18" t="s">
        <v>24</v>
      </c>
      <c r="E36" s="18" t="s">
        <v>93</v>
      </c>
      <c r="F36" s="19" t="s">
        <v>93</v>
      </c>
      <c r="G36" s="22">
        <v>0.48</v>
      </c>
      <c r="H36" s="23">
        <v>0</v>
      </c>
      <c r="I36" s="23">
        <f t="shared" si="3"/>
        <v>0</v>
      </c>
      <c r="J36" s="22">
        <v>0.48</v>
      </c>
      <c r="K36" s="23">
        <v>0</v>
      </c>
      <c r="L36" s="23">
        <f t="shared" si="4"/>
        <v>0</v>
      </c>
      <c r="M36" s="20">
        <v>0.48</v>
      </c>
      <c r="N36" s="24">
        <v>0</v>
      </c>
      <c r="O36" s="24">
        <f t="shared" si="5"/>
        <v>0</v>
      </c>
      <c r="P36" s="20">
        <v>0.48</v>
      </c>
      <c r="Q36" s="17">
        <v>9121621.6216216218</v>
      </c>
      <c r="R36" s="17">
        <f t="shared" si="10"/>
        <v>13500000</v>
      </c>
      <c r="S36" s="20">
        <v>0.4</v>
      </c>
      <c r="T36" s="17">
        <f>U36/(1+S36)</f>
        <v>9121621.6216216218</v>
      </c>
      <c r="U36" s="17">
        <f t="shared" si="7"/>
        <v>12770270.270270269</v>
      </c>
      <c r="V36" s="20">
        <v>0.4</v>
      </c>
      <c r="W36" s="16">
        <v>9285714.2857142854</v>
      </c>
      <c r="X36" s="16">
        <f t="shared" si="8"/>
        <v>12999999.999999998</v>
      </c>
      <c r="Y36" s="20">
        <v>0.4</v>
      </c>
      <c r="Z36" s="43">
        <f t="shared" si="0"/>
        <v>9464285.7142857146</v>
      </c>
      <c r="AA36" s="62">
        <f>13250000</f>
        <v>13250000</v>
      </c>
      <c r="AB36" s="7">
        <f t="shared" si="2"/>
        <v>13250000</v>
      </c>
      <c r="AC36" s="7">
        <f t="shared" si="1"/>
        <v>0</v>
      </c>
    </row>
    <row r="37" spans="1:29" s="8" customFormat="1" ht="22.7" customHeight="1">
      <c r="A37" s="59" t="s">
        <v>53</v>
      </c>
      <c r="B37" s="13" t="s">
        <v>87</v>
      </c>
      <c r="C37" s="13" t="s">
        <v>23</v>
      </c>
      <c r="D37" s="13" t="s">
        <v>24</v>
      </c>
      <c r="E37" s="13" t="s">
        <v>94</v>
      </c>
      <c r="F37" s="14" t="s">
        <v>95</v>
      </c>
      <c r="G37" s="21">
        <v>0.5</v>
      </c>
      <c r="H37" s="23">
        <v>9260000</v>
      </c>
      <c r="I37" s="23">
        <f t="shared" si="3"/>
        <v>13890000</v>
      </c>
      <c r="J37" s="21">
        <v>0.5</v>
      </c>
      <c r="K37" s="23">
        <v>9260000</v>
      </c>
      <c r="L37" s="23">
        <f t="shared" si="4"/>
        <v>13890000</v>
      </c>
      <c r="M37" s="20">
        <v>0.5</v>
      </c>
      <c r="N37" s="24">
        <v>9466666.666666666</v>
      </c>
      <c r="O37" s="24">
        <f t="shared" si="5"/>
        <v>14200000</v>
      </c>
      <c r="P37" s="15">
        <v>0.5</v>
      </c>
      <c r="Q37" s="16">
        <v>9533333</v>
      </c>
      <c r="R37" s="17">
        <f t="shared" si="10"/>
        <v>14299999.5</v>
      </c>
      <c r="S37" s="15">
        <v>0.4</v>
      </c>
      <c r="T37" s="16">
        <f>U37/(1+S37)</f>
        <v>9533333</v>
      </c>
      <c r="U37" s="16">
        <f t="shared" si="7"/>
        <v>13346666.199999999</v>
      </c>
      <c r="V37" s="15">
        <v>0.4</v>
      </c>
      <c r="W37" s="16">
        <v>9535714.2857142854</v>
      </c>
      <c r="X37" s="16">
        <f t="shared" si="8"/>
        <v>13349999.999999998</v>
      </c>
      <c r="Y37" s="15">
        <v>0.4</v>
      </c>
      <c r="Z37" s="43">
        <f t="shared" si="0"/>
        <v>9535714.2857142854</v>
      </c>
      <c r="AA37" s="60">
        <v>13349999.999999998</v>
      </c>
      <c r="AB37" s="7">
        <f t="shared" si="2"/>
        <v>13349999.999999998</v>
      </c>
      <c r="AC37" s="7">
        <f t="shared" si="1"/>
        <v>0</v>
      </c>
    </row>
    <row r="38" spans="1:29" s="8" customFormat="1" ht="22.7" customHeight="1">
      <c r="A38" s="63" t="s">
        <v>53</v>
      </c>
      <c r="B38" s="25" t="s">
        <v>96</v>
      </c>
      <c r="C38" s="27" t="s">
        <v>23</v>
      </c>
      <c r="D38" s="27" t="s">
        <v>37</v>
      </c>
      <c r="E38" s="27" t="s">
        <v>97</v>
      </c>
      <c r="F38" s="26" t="s">
        <v>98</v>
      </c>
      <c r="G38" s="37">
        <v>0.05</v>
      </c>
      <c r="H38" s="23">
        <v>12190476.19047619</v>
      </c>
      <c r="I38" s="23">
        <f t="shared" si="3"/>
        <v>12800000</v>
      </c>
      <c r="J38" s="28">
        <v>0.05</v>
      </c>
      <c r="K38" s="30">
        <v>12190476.19047619</v>
      </c>
      <c r="L38" s="23">
        <f t="shared" si="4"/>
        <v>12800000</v>
      </c>
      <c r="M38" s="28">
        <v>0.05</v>
      </c>
      <c r="N38" s="30">
        <v>12476190.476190476</v>
      </c>
      <c r="O38" s="24">
        <f t="shared" si="5"/>
        <v>13100000</v>
      </c>
      <c r="P38" s="28">
        <v>0.05</v>
      </c>
      <c r="Q38" s="30">
        <f>VLOOKUP(F38,'[5]Price List - w.e.f 1st Jul'!$I$24:$J$43,2,0)</f>
        <v>12714285.714285715</v>
      </c>
      <c r="R38" s="16">
        <f t="shared" si="10"/>
        <v>13350000</v>
      </c>
      <c r="S38" s="28">
        <v>0.05</v>
      </c>
      <c r="T38" s="29">
        <v>12714285.714285715</v>
      </c>
      <c r="U38" s="16">
        <f t="shared" si="7"/>
        <v>13350000</v>
      </c>
      <c r="V38" s="28">
        <v>0.05</v>
      </c>
      <c r="W38" s="16">
        <v>12714285.714285715</v>
      </c>
      <c r="X38" s="16">
        <f t="shared" si="8"/>
        <v>13350000</v>
      </c>
      <c r="Y38" s="28">
        <v>0.05</v>
      </c>
      <c r="Z38" s="43">
        <f t="shared" si="0"/>
        <v>12714285.714285715</v>
      </c>
      <c r="AA38" s="60">
        <v>13350000</v>
      </c>
      <c r="AB38" s="7">
        <f t="shared" si="2"/>
        <v>13350000</v>
      </c>
      <c r="AC38" s="7">
        <f t="shared" ref="AC38:AC71" si="11">AB38-AA38</f>
        <v>0</v>
      </c>
    </row>
    <row r="39" spans="1:29" s="8" customFormat="1" ht="22.7" customHeight="1">
      <c r="A39" s="65" t="s">
        <v>53</v>
      </c>
      <c r="B39" s="32" t="s">
        <v>87</v>
      </c>
      <c r="C39" s="32" t="s">
        <v>23</v>
      </c>
      <c r="D39" s="32" t="s">
        <v>24</v>
      </c>
      <c r="E39" s="13" t="s">
        <v>99</v>
      </c>
      <c r="F39" s="33" t="s">
        <v>100</v>
      </c>
      <c r="G39" s="38">
        <v>0.5</v>
      </c>
      <c r="H39" s="23">
        <v>0</v>
      </c>
      <c r="I39" s="23">
        <f t="shared" si="3"/>
        <v>0</v>
      </c>
      <c r="J39" s="35">
        <v>0.5</v>
      </c>
      <c r="K39" s="34">
        <v>0</v>
      </c>
      <c r="L39" s="34">
        <v>0</v>
      </c>
      <c r="M39" s="35">
        <v>0.5</v>
      </c>
      <c r="N39" s="34">
        <v>0</v>
      </c>
      <c r="O39" s="34">
        <v>0</v>
      </c>
      <c r="P39" s="35">
        <v>0.5</v>
      </c>
      <c r="Q39" s="36">
        <v>9433333.333333334</v>
      </c>
      <c r="R39" s="36">
        <v>14150000</v>
      </c>
      <c r="S39" s="35">
        <v>0.4</v>
      </c>
      <c r="T39" s="36">
        <f>U39/(1+S39)</f>
        <v>9433333.333333334</v>
      </c>
      <c r="U39" s="36">
        <f t="shared" si="7"/>
        <v>13206666.666666666</v>
      </c>
      <c r="V39" s="35">
        <v>0.4</v>
      </c>
      <c r="W39" s="16">
        <v>9621428.5714285709</v>
      </c>
      <c r="X39" s="16">
        <f t="shared" si="8"/>
        <v>13469999.999999998</v>
      </c>
      <c r="Y39" s="35">
        <v>0.4</v>
      </c>
      <c r="Z39" s="43">
        <f t="shared" si="0"/>
        <v>9821428.5714285728</v>
      </c>
      <c r="AA39" s="60">
        <f>13750000</f>
        <v>13750000</v>
      </c>
      <c r="AB39" s="7">
        <f t="shared" si="2"/>
        <v>13750000.000000002</v>
      </c>
      <c r="AC39" s="7">
        <f t="shared" si="11"/>
        <v>0</v>
      </c>
    </row>
    <row r="40" spans="1:29" s="8" customFormat="1" ht="22.7" customHeight="1">
      <c r="A40" s="65" t="s">
        <v>53</v>
      </c>
      <c r="B40" s="32" t="s">
        <v>87</v>
      </c>
      <c r="C40" s="32" t="s">
        <v>23</v>
      </c>
      <c r="D40" s="32" t="s">
        <v>24</v>
      </c>
      <c r="E40" s="32"/>
      <c r="F40" s="33" t="s">
        <v>101</v>
      </c>
      <c r="G40" s="38">
        <v>0.5</v>
      </c>
      <c r="H40" s="23">
        <v>0</v>
      </c>
      <c r="I40" s="23">
        <f t="shared" si="3"/>
        <v>0</v>
      </c>
      <c r="J40" s="35">
        <v>0.5</v>
      </c>
      <c r="K40" s="34">
        <v>0</v>
      </c>
      <c r="L40" s="34">
        <v>0</v>
      </c>
      <c r="M40" s="35">
        <v>0.5</v>
      </c>
      <c r="N40" s="34">
        <v>0</v>
      </c>
      <c r="O40" s="34">
        <v>0</v>
      </c>
      <c r="P40" s="35">
        <v>0.5</v>
      </c>
      <c r="Q40" s="36">
        <v>9600000.0000000019</v>
      </c>
      <c r="R40" s="36">
        <v>14400000.000000002</v>
      </c>
      <c r="S40" s="35">
        <v>0.4</v>
      </c>
      <c r="T40" s="36">
        <f>U40/(1+S40)</f>
        <v>9600000.0000000019</v>
      </c>
      <c r="U40" s="36">
        <f t="shared" si="7"/>
        <v>13440000.000000002</v>
      </c>
      <c r="V40" s="35">
        <v>0.4</v>
      </c>
      <c r="W40" s="16">
        <v>9785714.2857142854</v>
      </c>
      <c r="X40" s="16">
        <f t="shared" si="8"/>
        <v>13699999.999999998</v>
      </c>
      <c r="Y40" s="35">
        <v>0.4</v>
      </c>
      <c r="Z40" s="43">
        <f t="shared" ref="Z40:Z71" si="12">AA40/(1+Y40)</f>
        <v>9978571.4285714291</v>
      </c>
      <c r="AA40" s="60">
        <f>13970000</f>
        <v>13970000</v>
      </c>
      <c r="AB40" s="7">
        <f t="shared" si="2"/>
        <v>13970000</v>
      </c>
      <c r="AC40" s="7">
        <f t="shared" si="11"/>
        <v>0</v>
      </c>
    </row>
    <row r="41" spans="1:29" s="8" customFormat="1" ht="22.7" customHeight="1">
      <c r="A41" s="65" t="s">
        <v>53</v>
      </c>
      <c r="B41" s="32" t="s">
        <v>87</v>
      </c>
      <c r="C41" s="32" t="s">
        <v>23</v>
      </c>
      <c r="D41" s="32" t="s">
        <v>24</v>
      </c>
      <c r="E41" s="32"/>
      <c r="F41" s="33" t="s">
        <v>102</v>
      </c>
      <c r="G41" s="82">
        <v>0</v>
      </c>
      <c r="H41" s="83">
        <v>0</v>
      </c>
      <c r="I41" s="83">
        <v>0</v>
      </c>
      <c r="J41" s="84">
        <v>0</v>
      </c>
      <c r="K41" s="82">
        <v>0</v>
      </c>
      <c r="L41" s="82">
        <v>0</v>
      </c>
      <c r="M41" s="84">
        <v>0</v>
      </c>
      <c r="N41" s="82">
        <v>0</v>
      </c>
      <c r="O41" s="82">
        <v>0</v>
      </c>
      <c r="P41" s="84">
        <v>0</v>
      </c>
      <c r="Q41" s="84">
        <v>0</v>
      </c>
      <c r="R41" s="84">
        <v>0</v>
      </c>
      <c r="S41" s="84">
        <v>0</v>
      </c>
      <c r="T41" s="84">
        <v>0</v>
      </c>
      <c r="U41" s="84">
        <v>0</v>
      </c>
      <c r="V41" s="84">
        <v>0</v>
      </c>
      <c r="W41" s="85">
        <v>0</v>
      </c>
      <c r="X41" s="85">
        <v>0</v>
      </c>
      <c r="Y41" s="35">
        <v>0.4</v>
      </c>
      <c r="Z41" s="43">
        <f t="shared" si="12"/>
        <v>10035714.285714285</v>
      </c>
      <c r="AA41" s="60">
        <v>14050000</v>
      </c>
      <c r="AB41" s="7">
        <f t="shared" si="2"/>
        <v>14049999.999999998</v>
      </c>
      <c r="AC41" s="7">
        <f t="shared" si="11"/>
        <v>0</v>
      </c>
    </row>
    <row r="42" spans="1:29" s="8" customFormat="1" ht="22.7" customHeight="1">
      <c r="A42" s="65" t="s">
        <v>53</v>
      </c>
      <c r="B42" s="32" t="s">
        <v>87</v>
      </c>
      <c r="C42" s="32" t="s">
        <v>23</v>
      </c>
      <c r="D42" s="32" t="s">
        <v>24</v>
      </c>
      <c r="E42" s="32"/>
      <c r="F42" s="33" t="s">
        <v>103</v>
      </c>
      <c r="G42" s="82">
        <v>0</v>
      </c>
      <c r="H42" s="83">
        <v>0</v>
      </c>
      <c r="I42" s="83">
        <v>0</v>
      </c>
      <c r="J42" s="84">
        <v>0</v>
      </c>
      <c r="K42" s="82">
        <v>0</v>
      </c>
      <c r="L42" s="82">
        <v>0</v>
      </c>
      <c r="M42" s="84">
        <v>0</v>
      </c>
      <c r="N42" s="82">
        <v>0</v>
      </c>
      <c r="O42" s="82">
        <v>0</v>
      </c>
      <c r="P42" s="84">
        <v>0</v>
      </c>
      <c r="Q42" s="84">
        <v>0</v>
      </c>
      <c r="R42" s="84">
        <v>0</v>
      </c>
      <c r="S42" s="84">
        <v>0</v>
      </c>
      <c r="T42" s="84">
        <v>0</v>
      </c>
      <c r="U42" s="84">
        <v>0</v>
      </c>
      <c r="V42" s="84">
        <v>0</v>
      </c>
      <c r="W42" s="85">
        <v>0</v>
      </c>
      <c r="X42" s="85">
        <v>0</v>
      </c>
      <c r="Y42" s="35">
        <v>0.4</v>
      </c>
      <c r="Z42" s="43">
        <f t="shared" si="12"/>
        <v>10192857.142857144</v>
      </c>
      <c r="AA42" s="60">
        <v>14270000</v>
      </c>
      <c r="AB42" s="7">
        <f t="shared" si="2"/>
        <v>14270000</v>
      </c>
      <c r="AC42" s="7">
        <f t="shared" si="11"/>
        <v>0</v>
      </c>
    </row>
    <row r="43" spans="1:29" s="8" customFormat="1" ht="22.7" customHeight="1">
      <c r="A43" s="59" t="s">
        <v>40</v>
      </c>
      <c r="B43" s="13" t="s">
        <v>77</v>
      </c>
      <c r="C43" s="32" t="s">
        <v>23</v>
      </c>
      <c r="D43" s="32" t="s">
        <v>24</v>
      </c>
      <c r="E43" s="32"/>
      <c r="F43" s="33" t="s">
        <v>104</v>
      </c>
      <c r="G43" s="82">
        <v>0</v>
      </c>
      <c r="H43" s="83">
        <v>0</v>
      </c>
      <c r="I43" s="83">
        <v>0</v>
      </c>
      <c r="J43" s="84">
        <v>0</v>
      </c>
      <c r="K43" s="82">
        <v>0</v>
      </c>
      <c r="L43" s="82">
        <v>0</v>
      </c>
      <c r="M43" s="84">
        <v>0</v>
      </c>
      <c r="N43" s="82">
        <v>0</v>
      </c>
      <c r="O43" s="82">
        <v>0</v>
      </c>
      <c r="P43" s="84">
        <v>0</v>
      </c>
      <c r="Q43" s="84">
        <v>0</v>
      </c>
      <c r="R43" s="84">
        <v>0</v>
      </c>
      <c r="S43" s="84">
        <v>0</v>
      </c>
      <c r="T43" s="84">
        <v>0</v>
      </c>
      <c r="U43" s="84">
        <v>0</v>
      </c>
      <c r="V43" s="84">
        <v>0</v>
      </c>
      <c r="W43" s="85">
        <v>0</v>
      </c>
      <c r="X43" s="85">
        <v>0</v>
      </c>
      <c r="Y43" s="35">
        <v>0.4</v>
      </c>
      <c r="Z43" s="43">
        <f t="shared" si="12"/>
        <v>7500000.0000000009</v>
      </c>
      <c r="AA43" s="60">
        <v>10500000</v>
      </c>
      <c r="AB43" s="7">
        <f t="shared" si="2"/>
        <v>10500000</v>
      </c>
      <c r="AC43" s="7">
        <f t="shared" si="11"/>
        <v>0</v>
      </c>
    </row>
    <row r="44" spans="1:29" s="8" customFormat="1" ht="22.7" customHeight="1">
      <c r="A44" s="59" t="s">
        <v>40</v>
      </c>
      <c r="B44" s="13" t="s">
        <v>77</v>
      </c>
      <c r="C44" s="32" t="s">
        <v>23</v>
      </c>
      <c r="D44" s="32" t="s">
        <v>24</v>
      </c>
      <c r="E44" s="32"/>
      <c r="F44" s="33" t="s">
        <v>105</v>
      </c>
      <c r="G44" s="82">
        <v>0</v>
      </c>
      <c r="H44" s="83">
        <v>0</v>
      </c>
      <c r="I44" s="83">
        <v>0</v>
      </c>
      <c r="J44" s="84">
        <v>0</v>
      </c>
      <c r="K44" s="82">
        <v>0</v>
      </c>
      <c r="L44" s="82">
        <v>0</v>
      </c>
      <c r="M44" s="84">
        <v>0</v>
      </c>
      <c r="N44" s="82">
        <v>0</v>
      </c>
      <c r="O44" s="82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5">
        <v>0</v>
      </c>
      <c r="X44" s="85">
        <v>0</v>
      </c>
      <c r="Y44" s="35">
        <v>0.4</v>
      </c>
      <c r="Z44" s="43">
        <f t="shared" si="12"/>
        <v>8142857.1428571437</v>
      </c>
      <c r="AA44" s="60">
        <v>11400000</v>
      </c>
      <c r="AB44" s="7">
        <f t="shared" si="2"/>
        <v>11400000</v>
      </c>
      <c r="AC44" s="7">
        <f t="shared" si="11"/>
        <v>0</v>
      </c>
    </row>
    <row r="45" spans="1:29" s="8" customFormat="1" ht="22.7" customHeight="1">
      <c r="A45" s="65" t="s">
        <v>53</v>
      </c>
      <c r="B45" s="32" t="s">
        <v>106</v>
      </c>
      <c r="C45" s="32" t="s">
        <v>36</v>
      </c>
      <c r="D45" s="32" t="s">
        <v>24</v>
      </c>
      <c r="E45" s="32"/>
      <c r="F45" s="33" t="s">
        <v>107</v>
      </c>
      <c r="G45" s="82">
        <v>0</v>
      </c>
      <c r="H45" s="83">
        <v>0</v>
      </c>
      <c r="I45" s="83">
        <v>0</v>
      </c>
      <c r="J45" s="84">
        <v>0</v>
      </c>
      <c r="K45" s="82">
        <v>0</v>
      </c>
      <c r="L45" s="82">
        <v>0</v>
      </c>
      <c r="M45" s="84">
        <v>0</v>
      </c>
      <c r="N45" s="82">
        <v>0</v>
      </c>
      <c r="O45" s="82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5">
        <v>0</v>
      </c>
      <c r="X45" s="85">
        <v>0</v>
      </c>
      <c r="Y45" s="35">
        <v>0.4</v>
      </c>
      <c r="Z45" s="43">
        <f t="shared" si="12"/>
        <v>10000000</v>
      </c>
      <c r="AA45" s="60">
        <v>14000000</v>
      </c>
      <c r="AB45" s="7">
        <f t="shared" si="2"/>
        <v>14000000</v>
      </c>
      <c r="AC45" s="7">
        <f t="shared" si="11"/>
        <v>0</v>
      </c>
    </row>
    <row r="46" spans="1:29" s="8" customFormat="1" ht="22.7" customHeight="1">
      <c r="A46" s="65" t="s">
        <v>53</v>
      </c>
      <c r="B46" s="32" t="s">
        <v>106</v>
      </c>
      <c r="C46" s="32" t="s">
        <v>36</v>
      </c>
      <c r="D46" s="32" t="s">
        <v>24</v>
      </c>
      <c r="E46" s="32"/>
      <c r="F46" s="33" t="s">
        <v>108</v>
      </c>
      <c r="G46" s="82">
        <v>0</v>
      </c>
      <c r="H46" s="83">
        <v>0</v>
      </c>
      <c r="I46" s="83">
        <v>0</v>
      </c>
      <c r="J46" s="84">
        <v>0</v>
      </c>
      <c r="K46" s="82">
        <v>0</v>
      </c>
      <c r="L46" s="82">
        <v>0</v>
      </c>
      <c r="M46" s="84">
        <v>0</v>
      </c>
      <c r="N46" s="82">
        <v>0</v>
      </c>
      <c r="O46" s="82">
        <v>0</v>
      </c>
      <c r="P46" s="84">
        <v>0</v>
      </c>
      <c r="Q46" s="84">
        <v>0</v>
      </c>
      <c r="R46" s="84">
        <v>0</v>
      </c>
      <c r="S46" s="84">
        <v>0</v>
      </c>
      <c r="T46" s="84">
        <v>0</v>
      </c>
      <c r="U46" s="84">
        <v>0</v>
      </c>
      <c r="V46" s="84">
        <v>0</v>
      </c>
      <c r="W46" s="85">
        <v>0</v>
      </c>
      <c r="X46" s="85">
        <v>0</v>
      </c>
      <c r="Y46" s="35">
        <v>0.4</v>
      </c>
      <c r="Z46" s="43">
        <f t="shared" si="12"/>
        <v>10000000</v>
      </c>
      <c r="AA46" s="60">
        <v>14000000</v>
      </c>
      <c r="AB46" s="7">
        <f t="shared" si="2"/>
        <v>14000000</v>
      </c>
      <c r="AC46" s="7">
        <f t="shared" si="11"/>
        <v>0</v>
      </c>
    </row>
    <row r="47" spans="1:29" s="8" customFormat="1" ht="22.7" customHeight="1">
      <c r="A47" s="63" t="s">
        <v>53</v>
      </c>
      <c r="B47" s="25" t="s">
        <v>109</v>
      </c>
      <c r="C47" s="27" t="s">
        <v>36</v>
      </c>
      <c r="D47" s="27" t="s">
        <v>37</v>
      </c>
      <c r="E47" s="27" t="s">
        <v>110</v>
      </c>
      <c r="F47" s="26" t="s">
        <v>111</v>
      </c>
      <c r="G47" s="37">
        <v>0.05</v>
      </c>
      <c r="H47" s="23">
        <v>13466666.666666666</v>
      </c>
      <c r="I47" s="23">
        <f t="shared" ref="I47:I62" si="13">H47*(1+G47)</f>
        <v>14140000</v>
      </c>
      <c r="J47" s="28">
        <v>0.05</v>
      </c>
      <c r="K47" s="30">
        <v>13466666.666666666</v>
      </c>
      <c r="L47" s="23">
        <f t="shared" ref="L47:L62" si="14">K47*(1+J47)</f>
        <v>14140000</v>
      </c>
      <c r="M47" s="28">
        <v>0.05</v>
      </c>
      <c r="N47" s="30">
        <v>13466666.666666666</v>
      </c>
      <c r="O47" s="24">
        <f t="shared" ref="O47:O62" si="15">N47*(1+M47)</f>
        <v>14140000</v>
      </c>
      <c r="P47" s="28">
        <v>0.05</v>
      </c>
      <c r="Q47" s="30">
        <f>VLOOKUP(F47,'[5]Price List - w.e.f 1st Jul'!$I$24:$J$43,2,0)</f>
        <v>13466666.666666666</v>
      </c>
      <c r="R47" s="16">
        <f t="shared" ref="R47:R62" si="16">Q47*(1+P47)</f>
        <v>14140000</v>
      </c>
      <c r="S47" s="28">
        <v>0.05</v>
      </c>
      <c r="T47" s="29">
        <v>13466666.666666666</v>
      </c>
      <c r="U47" s="16">
        <f t="shared" ref="U47:U62" si="17">Q47*(1+S47)</f>
        <v>14140000</v>
      </c>
      <c r="V47" s="28">
        <v>0.05</v>
      </c>
      <c r="W47" s="16">
        <v>13466666.666666666</v>
      </c>
      <c r="X47" s="16">
        <f t="shared" ref="X47:X71" si="18">W47*(1+V47)</f>
        <v>14140000</v>
      </c>
      <c r="Y47" s="28">
        <v>0.05</v>
      </c>
      <c r="Z47" s="43">
        <f t="shared" si="12"/>
        <v>13466666.666666666</v>
      </c>
      <c r="AA47" s="60">
        <v>14140000</v>
      </c>
      <c r="AB47" s="7">
        <f t="shared" si="2"/>
        <v>14140000</v>
      </c>
      <c r="AC47" s="7">
        <f t="shared" si="11"/>
        <v>0</v>
      </c>
    </row>
    <row r="48" spans="1:29" s="8" customFormat="1" ht="22.7" customHeight="1">
      <c r="A48" s="59" t="s">
        <v>53</v>
      </c>
      <c r="B48" s="13" t="s">
        <v>112</v>
      </c>
      <c r="C48" s="13" t="s">
        <v>36</v>
      </c>
      <c r="D48" s="13" t="s">
        <v>24</v>
      </c>
      <c r="E48" s="13" t="s">
        <v>113</v>
      </c>
      <c r="F48" s="14" t="s">
        <v>114</v>
      </c>
      <c r="G48" s="21">
        <v>0.5</v>
      </c>
      <c r="H48" s="23">
        <v>12500000</v>
      </c>
      <c r="I48" s="23">
        <f t="shared" si="13"/>
        <v>18750000</v>
      </c>
      <c r="J48" s="21">
        <v>0.5</v>
      </c>
      <c r="K48" s="23">
        <v>12500000</v>
      </c>
      <c r="L48" s="23">
        <f t="shared" si="14"/>
        <v>18750000</v>
      </c>
      <c r="M48" s="20">
        <v>0.5</v>
      </c>
      <c r="N48" s="24">
        <v>12500000</v>
      </c>
      <c r="O48" s="24">
        <f t="shared" si="15"/>
        <v>18750000</v>
      </c>
      <c r="P48" s="15">
        <v>0.5</v>
      </c>
      <c r="Q48" s="16">
        <v>10333333.333333334</v>
      </c>
      <c r="R48" s="17">
        <f t="shared" si="16"/>
        <v>15500000</v>
      </c>
      <c r="S48" s="15">
        <v>0.4</v>
      </c>
      <c r="T48" s="16">
        <f>U48/(1+S48)</f>
        <v>10333333.333333334</v>
      </c>
      <c r="U48" s="16">
        <f t="shared" si="17"/>
        <v>14466666.666666666</v>
      </c>
      <c r="V48" s="15">
        <v>0.4</v>
      </c>
      <c r="W48" s="16">
        <v>10335714.285714285</v>
      </c>
      <c r="X48" s="16">
        <f t="shared" si="18"/>
        <v>14469999.999999998</v>
      </c>
      <c r="Y48" s="15">
        <v>0.4</v>
      </c>
      <c r="Z48" s="43">
        <f t="shared" si="12"/>
        <v>10335714.285714285</v>
      </c>
      <c r="AA48" s="60">
        <v>14469999.999999998</v>
      </c>
      <c r="AB48" s="7">
        <f t="shared" si="2"/>
        <v>14469999.999999998</v>
      </c>
      <c r="AC48" s="7">
        <f t="shared" si="11"/>
        <v>0</v>
      </c>
    </row>
    <row r="49" spans="1:36" s="8" customFormat="1" ht="22.7" customHeight="1">
      <c r="A49" s="59" t="s">
        <v>53</v>
      </c>
      <c r="B49" s="13" t="s">
        <v>115</v>
      </c>
      <c r="C49" s="13" t="s">
        <v>36</v>
      </c>
      <c r="D49" s="13" t="s">
        <v>24</v>
      </c>
      <c r="E49" s="13"/>
      <c r="F49" s="14" t="s">
        <v>116</v>
      </c>
      <c r="G49" s="21"/>
      <c r="H49" s="23"/>
      <c r="I49" s="23"/>
      <c r="J49" s="21"/>
      <c r="K49" s="23"/>
      <c r="L49" s="23"/>
      <c r="M49" s="20"/>
      <c r="N49" s="24"/>
      <c r="O49" s="24"/>
      <c r="P49" s="15"/>
      <c r="Q49" s="16"/>
      <c r="R49" s="17"/>
      <c r="S49" s="15"/>
      <c r="T49" s="16"/>
      <c r="U49" s="16"/>
      <c r="V49" s="15"/>
      <c r="W49" s="16"/>
      <c r="X49" s="16"/>
      <c r="Y49" s="15">
        <v>0.4</v>
      </c>
      <c r="Z49" s="43">
        <f>AA49/(1+Y49)</f>
        <v>10357142.857142858</v>
      </c>
      <c r="AA49" s="60">
        <f>14500000</f>
        <v>14500000</v>
      </c>
      <c r="AB49" s="7">
        <f t="shared" si="2"/>
        <v>14500000</v>
      </c>
      <c r="AC49" s="7">
        <f t="shared" si="11"/>
        <v>0</v>
      </c>
    </row>
    <row r="50" spans="1:36" s="8" customFormat="1" ht="22.7" customHeight="1">
      <c r="A50" s="63" t="s">
        <v>53</v>
      </c>
      <c r="B50" s="25" t="s">
        <v>96</v>
      </c>
      <c r="C50" s="27" t="s">
        <v>23</v>
      </c>
      <c r="D50" s="27" t="s">
        <v>37</v>
      </c>
      <c r="E50" s="27" t="s">
        <v>117</v>
      </c>
      <c r="F50" s="26" t="s">
        <v>118</v>
      </c>
      <c r="G50" s="37">
        <v>0.05</v>
      </c>
      <c r="H50" s="23">
        <v>0</v>
      </c>
      <c r="I50" s="23">
        <f t="shared" si="13"/>
        <v>0</v>
      </c>
      <c r="J50" s="28">
        <v>0.05</v>
      </c>
      <c r="K50" s="30">
        <v>13590476.19047619</v>
      </c>
      <c r="L50" s="23">
        <f t="shared" si="14"/>
        <v>14270000</v>
      </c>
      <c r="M50" s="28">
        <v>0.05</v>
      </c>
      <c r="N50" s="30">
        <v>13809523.80952381</v>
      </c>
      <c r="O50" s="24">
        <f t="shared" si="15"/>
        <v>14500000</v>
      </c>
      <c r="P50" s="28">
        <v>0.05</v>
      </c>
      <c r="Q50" s="30">
        <f>VLOOKUP(F50,'[5]Price List - w.e.f 1st Jul'!$I$24:$J$43,2,0)</f>
        <v>13980952.380952381</v>
      </c>
      <c r="R50" s="16">
        <f t="shared" si="16"/>
        <v>14680000</v>
      </c>
      <c r="S50" s="28">
        <v>0.05</v>
      </c>
      <c r="T50" s="29">
        <v>13980952.380952381</v>
      </c>
      <c r="U50" s="16">
        <f t="shared" si="17"/>
        <v>14680000</v>
      </c>
      <c r="V50" s="28">
        <v>0.05</v>
      </c>
      <c r="W50" s="16">
        <v>13980952.380952381</v>
      </c>
      <c r="X50" s="16">
        <f t="shared" si="18"/>
        <v>14680000</v>
      </c>
      <c r="Y50" s="28">
        <v>0.05</v>
      </c>
      <c r="Z50" s="43">
        <f t="shared" si="12"/>
        <v>13980952.380952381</v>
      </c>
      <c r="AA50" s="60">
        <v>14680000</v>
      </c>
      <c r="AB50" s="7">
        <f t="shared" si="2"/>
        <v>14680000</v>
      </c>
      <c r="AC50" s="7">
        <f t="shared" si="11"/>
        <v>0</v>
      </c>
    </row>
    <row r="51" spans="1:36" s="8" customFormat="1" ht="22.7" customHeight="1">
      <c r="A51" s="63" t="s">
        <v>53</v>
      </c>
      <c r="B51" s="25" t="s">
        <v>96</v>
      </c>
      <c r="C51" s="27" t="s">
        <v>23</v>
      </c>
      <c r="D51" s="27" t="s">
        <v>37</v>
      </c>
      <c r="E51" s="27" t="s">
        <v>117</v>
      </c>
      <c r="F51" s="26" t="s">
        <v>119</v>
      </c>
      <c r="G51" s="37">
        <v>0.05</v>
      </c>
      <c r="H51" s="23">
        <v>0</v>
      </c>
      <c r="I51" s="23">
        <f t="shared" si="13"/>
        <v>0</v>
      </c>
      <c r="J51" s="28">
        <v>0.05</v>
      </c>
      <c r="K51" s="30">
        <v>13590476.19047619</v>
      </c>
      <c r="L51" s="23">
        <f t="shared" si="14"/>
        <v>14270000</v>
      </c>
      <c r="M51" s="28">
        <v>0.05</v>
      </c>
      <c r="N51" s="30">
        <v>13876190.476190474</v>
      </c>
      <c r="O51" s="24">
        <f t="shared" si="15"/>
        <v>14569999.999999998</v>
      </c>
      <c r="P51" s="28">
        <v>0.05</v>
      </c>
      <c r="Q51" s="30">
        <f>VLOOKUP(F51,'[5]Price List - w.e.f 1st Jul'!$I$24:$J$43,2,0)</f>
        <v>14047619.047619047</v>
      </c>
      <c r="R51" s="16">
        <f t="shared" si="16"/>
        <v>14750000</v>
      </c>
      <c r="S51" s="28">
        <v>0.05</v>
      </c>
      <c r="T51" s="29">
        <v>14047619.047619047</v>
      </c>
      <c r="U51" s="16">
        <f t="shared" si="17"/>
        <v>14750000</v>
      </c>
      <c r="V51" s="28">
        <v>0.05</v>
      </c>
      <c r="W51" s="16">
        <v>14047619.047619047</v>
      </c>
      <c r="X51" s="16">
        <f t="shared" si="18"/>
        <v>14750000</v>
      </c>
      <c r="Y51" s="28">
        <v>0.05</v>
      </c>
      <c r="Z51" s="43">
        <f t="shared" si="12"/>
        <v>14047619.047619047</v>
      </c>
      <c r="AA51" s="60">
        <v>14750000</v>
      </c>
      <c r="AB51" s="7">
        <f t="shared" si="2"/>
        <v>14750000</v>
      </c>
      <c r="AC51" s="7">
        <f t="shared" si="11"/>
        <v>0</v>
      </c>
    </row>
    <row r="52" spans="1:36" s="8" customFormat="1" ht="22.7" customHeight="1">
      <c r="A52" s="61" t="s">
        <v>53</v>
      </c>
      <c r="B52" s="18" t="s">
        <v>120</v>
      </c>
      <c r="C52" s="18" t="s">
        <v>23</v>
      </c>
      <c r="D52" s="18" t="s">
        <v>24</v>
      </c>
      <c r="E52" s="18" t="s">
        <v>121</v>
      </c>
      <c r="F52" s="19" t="s">
        <v>122</v>
      </c>
      <c r="G52" s="22">
        <v>0.48</v>
      </c>
      <c r="H52" s="23">
        <v>12101351.351351352</v>
      </c>
      <c r="I52" s="23">
        <f t="shared" si="13"/>
        <v>17910000</v>
      </c>
      <c r="J52" s="22">
        <v>0.48</v>
      </c>
      <c r="K52" s="23">
        <v>12364864.864864865</v>
      </c>
      <c r="L52" s="23">
        <f t="shared" si="14"/>
        <v>18300000</v>
      </c>
      <c r="M52" s="20">
        <v>0.48</v>
      </c>
      <c r="N52" s="24">
        <v>12567567.567567568</v>
      </c>
      <c r="O52" s="24">
        <f t="shared" si="15"/>
        <v>18600000</v>
      </c>
      <c r="P52" s="20">
        <v>0.48</v>
      </c>
      <c r="Q52" s="17">
        <v>12702702.702702703</v>
      </c>
      <c r="R52" s="16">
        <f t="shared" si="16"/>
        <v>18800000</v>
      </c>
      <c r="S52" s="20">
        <v>0.4</v>
      </c>
      <c r="T52" s="17">
        <f>U52/(1+S52)</f>
        <v>12702702.702702703</v>
      </c>
      <c r="U52" s="17">
        <f t="shared" si="17"/>
        <v>17783783.783783782</v>
      </c>
      <c r="V52" s="20">
        <v>0.4</v>
      </c>
      <c r="W52" s="16">
        <v>12928571.428571429</v>
      </c>
      <c r="X52" s="16">
        <f t="shared" si="18"/>
        <v>18100000</v>
      </c>
      <c r="Y52" s="20">
        <v>0.4</v>
      </c>
      <c r="Z52" s="43">
        <f t="shared" si="12"/>
        <v>13185714.285714287</v>
      </c>
      <c r="AA52" s="62">
        <f>18460000</f>
        <v>18460000</v>
      </c>
      <c r="AB52" s="7">
        <f t="shared" si="2"/>
        <v>18460000</v>
      </c>
      <c r="AC52" s="7">
        <f t="shared" si="11"/>
        <v>0</v>
      </c>
    </row>
    <row r="53" spans="1:36" s="8" customFormat="1" ht="22.7" customHeight="1">
      <c r="A53" s="59" t="s">
        <v>53</v>
      </c>
      <c r="B53" s="13" t="s">
        <v>69</v>
      </c>
      <c r="C53" s="13" t="s">
        <v>36</v>
      </c>
      <c r="D53" s="13" t="s">
        <v>24</v>
      </c>
      <c r="E53" s="13"/>
      <c r="F53" s="14" t="s">
        <v>123</v>
      </c>
      <c r="G53" s="21">
        <v>0.43</v>
      </c>
      <c r="H53" s="23">
        <v>13636363.636363637</v>
      </c>
      <c r="I53" s="23">
        <f t="shared" si="13"/>
        <v>19500000</v>
      </c>
      <c r="J53" s="21">
        <v>0.43</v>
      </c>
      <c r="K53" s="23">
        <v>13636363.636363637</v>
      </c>
      <c r="L53" s="23">
        <f t="shared" si="14"/>
        <v>19500000</v>
      </c>
      <c r="M53" s="20">
        <v>0.43</v>
      </c>
      <c r="N53" s="24">
        <v>13636363.636363637</v>
      </c>
      <c r="O53" s="24">
        <f t="shared" si="15"/>
        <v>19500000</v>
      </c>
      <c r="P53" s="15">
        <v>0.43</v>
      </c>
      <c r="Q53" s="16">
        <v>13636363.636363637</v>
      </c>
      <c r="R53" s="17">
        <f t="shared" si="16"/>
        <v>19500000</v>
      </c>
      <c r="S53" s="15">
        <v>0.4</v>
      </c>
      <c r="T53" s="16">
        <f>U53/(1+S53)</f>
        <v>13636363.636363637</v>
      </c>
      <c r="U53" s="16">
        <f t="shared" si="17"/>
        <v>19090909.09090909</v>
      </c>
      <c r="V53" s="15">
        <v>0.4</v>
      </c>
      <c r="W53" s="16">
        <v>13636363.636363637</v>
      </c>
      <c r="X53" s="16">
        <f t="shared" si="18"/>
        <v>19090909.09090909</v>
      </c>
      <c r="Y53" s="15">
        <v>0.4</v>
      </c>
      <c r="Z53" s="43">
        <f t="shared" si="12"/>
        <v>13636363.636363637</v>
      </c>
      <c r="AA53" s="60">
        <v>19090909.09090909</v>
      </c>
      <c r="AB53" s="7">
        <f t="shared" si="2"/>
        <v>19090909.09090909</v>
      </c>
      <c r="AC53" s="7">
        <f t="shared" si="11"/>
        <v>0</v>
      </c>
      <c r="AF53" s="98"/>
      <c r="AG53" s="98"/>
      <c r="AH53" s="98"/>
      <c r="AI53" s="98"/>
      <c r="AJ53" s="98"/>
    </row>
    <row r="54" spans="1:36" s="12" customFormat="1" ht="22.7" customHeight="1">
      <c r="A54" s="59" t="s">
        <v>53</v>
      </c>
      <c r="B54" s="13" t="s">
        <v>120</v>
      </c>
      <c r="C54" s="13" t="s">
        <v>23</v>
      </c>
      <c r="D54" s="13" t="s">
        <v>24</v>
      </c>
      <c r="E54" s="13" t="s">
        <v>124</v>
      </c>
      <c r="F54" s="14" t="s">
        <v>125</v>
      </c>
      <c r="G54" s="21">
        <v>0.48</v>
      </c>
      <c r="H54" s="23">
        <v>12824324.324324325</v>
      </c>
      <c r="I54" s="23">
        <f t="shared" si="13"/>
        <v>18980000</v>
      </c>
      <c r="J54" s="21">
        <v>0.48</v>
      </c>
      <c r="K54" s="23">
        <v>12824324.324324325</v>
      </c>
      <c r="L54" s="23">
        <f t="shared" si="14"/>
        <v>18980000</v>
      </c>
      <c r="M54" s="20">
        <v>0.48</v>
      </c>
      <c r="N54" s="24">
        <v>13358108.108108109</v>
      </c>
      <c r="O54" s="24">
        <f t="shared" si="15"/>
        <v>19770000</v>
      </c>
      <c r="P54" s="15">
        <v>0.48</v>
      </c>
      <c r="Q54" s="16">
        <v>13445945.945945945</v>
      </c>
      <c r="R54" s="16">
        <f t="shared" si="16"/>
        <v>19899999.999999996</v>
      </c>
      <c r="S54" s="15">
        <v>0.4</v>
      </c>
      <c r="T54" s="16">
        <f>U54/(1+S54)</f>
        <v>13445945.945945945</v>
      </c>
      <c r="U54" s="16">
        <f t="shared" si="17"/>
        <v>18824324.324324321</v>
      </c>
      <c r="V54" s="15">
        <v>0.4</v>
      </c>
      <c r="W54" s="16">
        <v>13714285.714285715</v>
      </c>
      <c r="X54" s="16">
        <f t="shared" si="18"/>
        <v>19200000</v>
      </c>
      <c r="Y54" s="15">
        <v>0.4</v>
      </c>
      <c r="Z54" s="43">
        <f t="shared" si="12"/>
        <v>13985714.285714287</v>
      </c>
      <c r="AA54" s="60">
        <f>19580000</f>
        <v>19580000</v>
      </c>
      <c r="AB54" s="7">
        <f t="shared" si="2"/>
        <v>19580000</v>
      </c>
      <c r="AC54" s="7">
        <f t="shared" si="11"/>
        <v>0</v>
      </c>
    </row>
    <row r="55" spans="1:36" s="12" customFormat="1" ht="22.7" customHeight="1">
      <c r="A55" s="89" t="s">
        <v>53</v>
      </c>
      <c r="B55" s="90" t="s">
        <v>126</v>
      </c>
      <c r="C55" s="90" t="s">
        <v>23</v>
      </c>
      <c r="D55" s="90" t="s">
        <v>24</v>
      </c>
      <c r="E55" s="90" t="s">
        <v>124</v>
      </c>
      <c r="F55" s="91" t="s">
        <v>127</v>
      </c>
      <c r="G55" s="92">
        <v>0</v>
      </c>
      <c r="H55" s="93">
        <v>0</v>
      </c>
      <c r="I55" s="93">
        <v>0</v>
      </c>
      <c r="J55" s="92">
        <v>0</v>
      </c>
      <c r="K55" s="93">
        <v>0</v>
      </c>
      <c r="L55" s="93">
        <v>0</v>
      </c>
      <c r="M55" s="94">
        <v>0</v>
      </c>
      <c r="N55" s="93">
        <v>0</v>
      </c>
      <c r="O55" s="93">
        <v>0</v>
      </c>
      <c r="P55" s="94">
        <v>0</v>
      </c>
      <c r="Q55" s="94">
        <v>0</v>
      </c>
      <c r="R55" s="94">
        <v>0</v>
      </c>
      <c r="S55" s="94">
        <v>0</v>
      </c>
      <c r="T55" s="94">
        <v>0</v>
      </c>
      <c r="U55" s="94">
        <v>0</v>
      </c>
      <c r="V55" s="94">
        <v>0</v>
      </c>
      <c r="W55" s="94">
        <v>0</v>
      </c>
      <c r="X55" s="94">
        <v>0</v>
      </c>
      <c r="Y55" s="95">
        <v>0.4</v>
      </c>
      <c r="Z55" s="96">
        <f t="shared" ref="Z55:Z57" si="19">AA55/(1+Y55)</f>
        <v>15714285.714285715</v>
      </c>
      <c r="AA55" s="97">
        <v>22000000</v>
      </c>
      <c r="AB55" s="7">
        <f t="shared" si="2"/>
        <v>22000000</v>
      </c>
      <c r="AC55" s="7">
        <f t="shared" si="11"/>
        <v>0</v>
      </c>
    </row>
    <row r="56" spans="1:36" s="12" customFormat="1" ht="22.7" customHeight="1">
      <c r="A56" s="89" t="s">
        <v>53</v>
      </c>
      <c r="B56" s="90" t="s">
        <v>126</v>
      </c>
      <c r="C56" s="90" t="s">
        <v>23</v>
      </c>
      <c r="D56" s="90" t="s">
        <v>24</v>
      </c>
      <c r="E56" s="90" t="s">
        <v>124</v>
      </c>
      <c r="F56" s="91" t="s">
        <v>128</v>
      </c>
      <c r="G56" s="92">
        <v>0</v>
      </c>
      <c r="H56" s="93">
        <v>0</v>
      </c>
      <c r="I56" s="93">
        <v>0</v>
      </c>
      <c r="J56" s="92">
        <v>0</v>
      </c>
      <c r="K56" s="93">
        <v>0</v>
      </c>
      <c r="L56" s="93">
        <v>0</v>
      </c>
      <c r="M56" s="94">
        <v>0</v>
      </c>
      <c r="N56" s="93">
        <v>0</v>
      </c>
      <c r="O56" s="93">
        <v>0</v>
      </c>
      <c r="P56" s="94">
        <v>0</v>
      </c>
      <c r="Q56" s="94">
        <v>0</v>
      </c>
      <c r="R56" s="94">
        <v>0</v>
      </c>
      <c r="S56" s="94">
        <v>0</v>
      </c>
      <c r="T56" s="94">
        <v>0</v>
      </c>
      <c r="U56" s="94">
        <v>0</v>
      </c>
      <c r="V56" s="94">
        <v>0</v>
      </c>
      <c r="W56" s="94">
        <v>0</v>
      </c>
      <c r="X56" s="94">
        <v>0</v>
      </c>
      <c r="Y56" s="95">
        <v>0.4</v>
      </c>
      <c r="Z56" s="96">
        <f t="shared" ref="Z56" si="20">AA56/(1+Y56)</f>
        <v>17000000</v>
      </c>
      <c r="AA56" s="97">
        <v>23800000</v>
      </c>
      <c r="AB56" s="7">
        <f t="shared" si="2"/>
        <v>23800000</v>
      </c>
      <c r="AC56" s="7">
        <f t="shared" si="11"/>
        <v>0</v>
      </c>
    </row>
    <row r="57" spans="1:36" s="12" customFormat="1" ht="22.7" customHeight="1">
      <c r="A57" s="59" t="s">
        <v>53</v>
      </c>
      <c r="B57" s="13" t="s">
        <v>120</v>
      </c>
      <c r="C57" s="13" t="s">
        <v>23</v>
      </c>
      <c r="D57" s="13" t="s">
        <v>24</v>
      </c>
      <c r="E57" s="13" t="s">
        <v>124</v>
      </c>
      <c r="F57" s="14" t="s">
        <v>125</v>
      </c>
      <c r="G57" s="21">
        <v>0.48</v>
      </c>
      <c r="H57" s="23">
        <v>12824324.324324325</v>
      </c>
      <c r="I57" s="23">
        <f t="shared" ref="I57" si="21">H57*(1+G57)</f>
        <v>18980000</v>
      </c>
      <c r="J57" s="21">
        <v>0.48</v>
      </c>
      <c r="K57" s="23">
        <v>12824324.324324325</v>
      </c>
      <c r="L57" s="23">
        <f t="shared" ref="L57" si="22">K57*(1+J57)</f>
        <v>18980000</v>
      </c>
      <c r="M57" s="20">
        <v>0.48</v>
      </c>
      <c r="N57" s="24">
        <v>13358108.108108109</v>
      </c>
      <c r="O57" s="24">
        <f t="shared" ref="O57" si="23">N57*(1+M57)</f>
        <v>19770000</v>
      </c>
      <c r="P57" s="15">
        <v>0.48</v>
      </c>
      <c r="Q57" s="16">
        <v>13445945.945945945</v>
      </c>
      <c r="R57" s="16">
        <f t="shared" ref="R57" si="24">Q57*(1+P57)</f>
        <v>19899999.999999996</v>
      </c>
      <c r="S57" s="15">
        <v>0.4</v>
      </c>
      <c r="T57" s="16">
        <f>U57/(1+S57)</f>
        <v>13445945.945945945</v>
      </c>
      <c r="U57" s="16">
        <f t="shared" ref="U57" si="25">Q57*(1+S57)</f>
        <v>18824324.324324321</v>
      </c>
      <c r="V57" s="15">
        <v>0.4</v>
      </c>
      <c r="W57" s="16">
        <v>13714285.714285715</v>
      </c>
      <c r="X57" s="16">
        <f t="shared" ref="X57" si="26">W57*(1+V57)</f>
        <v>19200000</v>
      </c>
      <c r="Y57" s="15">
        <v>0.4</v>
      </c>
      <c r="Z57" s="43">
        <f t="shared" si="19"/>
        <v>13985714.285714287</v>
      </c>
      <c r="AA57" s="60">
        <f>19580000</f>
        <v>19580000</v>
      </c>
      <c r="AB57" s="7">
        <f t="shared" si="2"/>
        <v>19580000</v>
      </c>
      <c r="AC57" s="7">
        <f t="shared" si="11"/>
        <v>0</v>
      </c>
    </row>
    <row r="58" spans="1:36" s="8" customFormat="1" ht="22.7" customHeight="1">
      <c r="A58" s="59" t="s">
        <v>53</v>
      </c>
      <c r="B58" s="13" t="s">
        <v>129</v>
      </c>
      <c r="C58" s="13" t="s">
        <v>36</v>
      </c>
      <c r="D58" s="13" t="s">
        <v>24</v>
      </c>
      <c r="E58" s="13" t="s">
        <v>130</v>
      </c>
      <c r="F58" s="14" t="s">
        <v>131</v>
      </c>
      <c r="G58" s="21">
        <v>0.48</v>
      </c>
      <c r="H58" s="23">
        <v>16702702.702702703</v>
      </c>
      <c r="I58" s="23">
        <f t="shared" si="13"/>
        <v>24720000</v>
      </c>
      <c r="J58" s="21">
        <v>0.48</v>
      </c>
      <c r="K58" s="23">
        <v>16702702.702702703</v>
      </c>
      <c r="L58" s="23">
        <f t="shared" si="14"/>
        <v>24720000</v>
      </c>
      <c r="M58" s="20">
        <v>0.48</v>
      </c>
      <c r="N58" s="24">
        <v>16702702.702702703</v>
      </c>
      <c r="O58" s="24">
        <f t="shared" si="15"/>
        <v>24720000</v>
      </c>
      <c r="P58" s="15">
        <v>0.48</v>
      </c>
      <c r="Q58" s="16">
        <v>16702702.702702703</v>
      </c>
      <c r="R58" s="17">
        <f t="shared" si="16"/>
        <v>24720000</v>
      </c>
      <c r="S58" s="15">
        <v>0.4</v>
      </c>
      <c r="T58" s="16">
        <f>U58/(1+S58)</f>
        <v>16702702.702702703</v>
      </c>
      <c r="U58" s="16">
        <f t="shared" si="17"/>
        <v>23383783.783783782</v>
      </c>
      <c r="V58" s="15">
        <v>0.4</v>
      </c>
      <c r="W58" s="16">
        <v>16702702.702702703</v>
      </c>
      <c r="X58" s="16">
        <f t="shared" si="18"/>
        <v>23383783.783783782</v>
      </c>
      <c r="Y58" s="15">
        <v>0.4</v>
      </c>
      <c r="Z58" s="43">
        <f t="shared" si="12"/>
        <v>16702702.702702703</v>
      </c>
      <c r="AA58" s="60">
        <v>23383783.783783782</v>
      </c>
      <c r="AB58" s="7">
        <f t="shared" si="2"/>
        <v>23383783.783783782</v>
      </c>
      <c r="AC58" s="7">
        <f t="shared" si="11"/>
        <v>0</v>
      </c>
    </row>
    <row r="59" spans="1:36" s="8" customFormat="1" ht="22.7" customHeight="1">
      <c r="A59" s="59" t="s">
        <v>53</v>
      </c>
      <c r="B59" s="13" t="s">
        <v>132</v>
      </c>
      <c r="C59" s="13" t="s">
        <v>36</v>
      </c>
      <c r="D59" s="13" t="s">
        <v>37</v>
      </c>
      <c r="E59" s="13" t="s">
        <v>133</v>
      </c>
      <c r="F59" s="14" t="s">
        <v>134</v>
      </c>
      <c r="G59" s="21">
        <v>0.05</v>
      </c>
      <c r="H59" s="23">
        <v>21733333.333333332</v>
      </c>
      <c r="I59" s="23">
        <f t="shared" si="13"/>
        <v>22820000</v>
      </c>
      <c r="J59" s="21">
        <v>0.05</v>
      </c>
      <c r="K59" s="23">
        <v>21733333.333333332</v>
      </c>
      <c r="L59" s="23">
        <f t="shared" si="14"/>
        <v>22820000</v>
      </c>
      <c r="M59" s="20">
        <v>0.05</v>
      </c>
      <c r="N59" s="24">
        <v>22380952.380952381</v>
      </c>
      <c r="O59" s="24">
        <f t="shared" si="15"/>
        <v>23500000</v>
      </c>
      <c r="P59" s="15">
        <v>0.05</v>
      </c>
      <c r="Q59" s="16">
        <f>VLOOKUP(F59,'[5]Price List - w.e.f 1st Jul'!$I$24:$J$43,2,0)</f>
        <v>22857142.857142854</v>
      </c>
      <c r="R59" s="17">
        <f t="shared" si="16"/>
        <v>24000000</v>
      </c>
      <c r="S59" s="15">
        <v>0.05</v>
      </c>
      <c r="T59" s="16">
        <v>22857142.857142854</v>
      </c>
      <c r="U59" s="16">
        <f t="shared" si="17"/>
        <v>24000000</v>
      </c>
      <c r="V59" s="15">
        <v>0.05</v>
      </c>
      <c r="W59" s="16">
        <v>22857142.857142854</v>
      </c>
      <c r="X59" s="16">
        <f t="shared" si="18"/>
        <v>24000000</v>
      </c>
      <c r="Y59" s="15">
        <v>0.05</v>
      </c>
      <c r="Z59" s="43">
        <f t="shared" si="12"/>
        <v>22857142.857142854</v>
      </c>
      <c r="AA59" s="60">
        <v>24000000</v>
      </c>
      <c r="AB59" s="7">
        <f t="shared" si="2"/>
        <v>24000000</v>
      </c>
      <c r="AC59" s="7">
        <f t="shared" si="11"/>
        <v>0</v>
      </c>
    </row>
    <row r="60" spans="1:36" s="8" customFormat="1" ht="22.7" customHeight="1">
      <c r="A60" s="59" t="s">
        <v>53</v>
      </c>
      <c r="B60" s="13" t="s">
        <v>135</v>
      </c>
      <c r="C60" s="13" t="s">
        <v>36</v>
      </c>
      <c r="D60" s="13" t="s">
        <v>24</v>
      </c>
      <c r="E60" s="13" t="s">
        <v>136</v>
      </c>
      <c r="F60" s="14" t="s">
        <v>137</v>
      </c>
      <c r="G60" s="21">
        <v>0.5</v>
      </c>
      <c r="H60" s="23">
        <v>22606666.666666668</v>
      </c>
      <c r="I60" s="23">
        <f t="shared" si="13"/>
        <v>33910000</v>
      </c>
      <c r="J60" s="21">
        <v>0.5</v>
      </c>
      <c r="K60" s="23">
        <v>22606666.666666668</v>
      </c>
      <c r="L60" s="23">
        <f t="shared" si="14"/>
        <v>33910000</v>
      </c>
      <c r="M60" s="20">
        <v>0.5</v>
      </c>
      <c r="N60" s="24">
        <v>22606666.666666668</v>
      </c>
      <c r="O60" s="24">
        <f t="shared" si="15"/>
        <v>33910000</v>
      </c>
      <c r="P60" s="15">
        <v>0.5</v>
      </c>
      <c r="Q60" s="16">
        <v>22606666.666666668</v>
      </c>
      <c r="R60" s="17">
        <f t="shared" si="16"/>
        <v>33910000</v>
      </c>
      <c r="S60" s="15">
        <v>0.4</v>
      </c>
      <c r="T60" s="16">
        <f>U60/(1+S60)</f>
        <v>22606666.666666668</v>
      </c>
      <c r="U60" s="16">
        <f t="shared" si="17"/>
        <v>31649333.333333332</v>
      </c>
      <c r="V60" s="15">
        <v>0.4</v>
      </c>
      <c r="W60" s="16">
        <v>19642857.142857146</v>
      </c>
      <c r="X60" s="16">
        <f t="shared" si="18"/>
        <v>27500000.000000004</v>
      </c>
      <c r="Y60" s="15">
        <v>0.4</v>
      </c>
      <c r="Z60" s="43">
        <f t="shared" si="12"/>
        <v>19642857.142857146</v>
      </c>
      <c r="AA60" s="60">
        <v>27500000.000000004</v>
      </c>
      <c r="AB60" s="7">
        <f t="shared" si="2"/>
        <v>27500000.000000004</v>
      </c>
      <c r="AC60" s="7">
        <f t="shared" si="11"/>
        <v>0</v>
      </c>
    </row>
    <row r="61" spans="1:36" s="8" customFormat="1" ht="22.7" customHeight="1">
      <c r="A61" s="59" t="s">
        <v>53</v>
      </c>
      <c r="B61" s="13" t="s">
        <v>138</v>
      </c>
      <c r="C61" s="13" t="s">
        <v>23</v>
      </c>
      <c r="D61" s="13" t="s">
        <v>24</v>
      </c>
      <c r="E61" s="13" t="s">
        <v>139</v>
      </c>
      <c r="F61" s="14" t="s">
        <v>140</v>
      </c>
      <c r="G61" s="21">
        <v>0.48</v>
      </c>
      <c r="H61" s="23">
        <v>18736486.486486487</v>
      </c>
      <c r="I61" s="23">
        <f t="shared" si="13"/>
        <v>27730000</v>
      </c>
      <c r="J61" s="21">
        <v>0.48</v>
      </c>
      <c r="K61" s="23">
        <v>18736486.486486487</v>
      </c>
      <c r="L61" s="23">
        <f t="shared" si="14"/>
        <v>27730000</v>
      </c>
      <c r="M61" s="20">
        <v>0.48</v>
      </c>
      <c r="N61" s="24">
        <v>19121621.621621624</v>
      </c>
      <c r="O61" s="24">
        <f t="shared" si="15"/>
        <v>28300000.000000004</v>
      </c>
      <c r="P61" s="15">
        <v>0.48</v>
      </c>
      <c r="Q61" s="16">
        <v>19594594.59459459</v>
      </c>
      <c r="R61" s="17">
        <f t="shared" si="16"/>
        <v>28999999.999999993</v>
      </c>
      <c r="S61" s="15">
        <v>0.4</v>
      </c>
      <c r="T61" s="16">
        <f>U61/(1+S61)</f>
        <v>19594594.59459459</v>
      </c>
      <c r="U61" s="16">
        <f t="shared" si="17"/>
        <v>27432432.432432424</v>
      </c>
      <c r="V61" s="15">
        <v>0.4</v>
      </c>
      <c r="W61" s="16">
        <v>20000000</v>
      </c>
      <c r="X61" s="16">
        <f t="shared" si="18"/>
        <v>28000000</v>
      </c>
      <c r="Y61" s="15">
        <v>0.4</v>
      </c>
      <c r="Z61" s="43">
        <f t="shared" si="12"/>
        <v>20535714.285714287</v>
      </c>
      <c r="AA61" s="60">
        <f>28750000</f>
        <v>28750000</v>
      </c>
      <c r="AB61" s="7">
        <f t="shared" si="2"/>
        <v>28750000</v>
      </c>
      <c r="AC61" s="7">
        <f t="shared" si="11"/>
        <v>0</v>
      </c>
    </row>
    <row r="62" spans="1:36" s="8" customFormat="1" ht="22.7" customHeight="1">
      <c r="A62" s="59" t="s">
        <v>53</v>
      </c>
      <c r="B62" s="13" t="s">
        <v>141</v>
      </c>
      <c r="C62" s="13" t="s">
        <v>36</v>
      </c>
      <c r="D62" s="13" t="s">
        <v>24</v>
      </c>
      <c r="E62" s="13"/>
      <c r="F62" s="14" t="s">
        <v>142</v>
      </c>
      <c r="G62" s="21">
        <v>0.48</v>
      </c>
      <c r="H62" s="23">
        <v>0</v>
      </c>
      <c r="I62" s="23">
        <f t="shared" si="13"/>
        <v>0</v>
      </c>
      <c r="J62" s="21">
        <v>0.48</v>
      </c>
      <c r="K62" s="23">
        <v>0</v>
      </c>
      <c r="L62" s="23">
        <f t="shared" si="14"/>
        <v>0</v>
      </c>
      <c r="M62" s="20">
        <v>0.48</v>
      </c>
      <c r="N62" s="24">
        <v>0</v>
      </c>
      <c r="O62" s="24">
        <f t="shared" si="15"/>
        <v>0</v>
      </c>
      <c r="P62" s="15">
        <v>0.48</v>
      </c>
      <c r="Q62" s="16">
        <v>20608108.382882886</v>
      </c>
      <c r="R62" s="17">
        <f t="shared" si="16"/>
        <v>30500000.40666667</v>
      </c>
      <c r="S62" s="15">
        <v>0.4</v>
      </c>
      <c r="T62" s="16">
        <f>U62/(1+S62)</f>
        <v>20608108.382882886</v>
      </c>
      <c r="U62" s="16">
        <f t="shared" si="17"/>
        <v>28851351.73603604</v>
      </c>
      <c r="V62" s="15">
        <v>0.4</v>
      </c>
      <c r="W62" s="16">
        <v>20608108.382882886</v>
      </c>
      <c r="X62" s="16">
        <f t="shared" si="18"/>
        <v>28851351.73603604</v>
      </c>
      <c r="Y62" s="15">
        <v>0.4</v>
      </c>
      <c r="Z62" s="43">
        <f t="shared" si="12"/>
        <v>20608108.382882886</v>
      </c>
      <c r="AA62" s="60">
        <v>28851351.73603604</v>
      </c>
      <c r="AB62" s="7">
        <f t="shared" si="2"/>
        <v>28851351.73603604</v>
      </c>
      <c r="AC62" s="7">
        <f t="shared" si="11"/>
        <v>0</v>
      </c>
    </row>
    <row r="63" spans="1:36" s="8" customFormat="1" ht="22.7" customHeight="1">
      <c r="A63" s="59" t="s">
        <v>53</v>
      </c>
      <c r="B63" s="13" t="s">
        <v>143</v>
      </c>
      <c r="C63" s="13" t="s">
        <v>36</v>
      </c>
      <c r="D63" s="13" t="s">
        <v>24</v>
      </c>
      <c r="E63" s="13" t="s">
        <v>144</v>
      </c>
      <c r="F63" s="14" t="s">
        <v>144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15">
        <v>0.4</v>
      </c>
      <c r="T63" s="16">
        <v>20714285.714285716</v>
      </c>
      <c r="U63" s="16">
        <f>T63*(1+S63)</f>
        <v>29000000</v>
      </c>
      <c r="V63" s="15">
        <v>0.4</v>
      </c>
      <c r="W63" s="16">
        <v>20714285.714285716</v>
      </c>
      <c r="X63" s="16">
        <f t="shared" si="18"/>
        <v>29000000</v>
      </c>
      <c r="Y63" s="15">
        <v>0.4</v>
      </c>
      <c r="Z63" s="43">
        <f t="shared" si="12"/>
        <v>20714285.714285716</v>
      </c>
      <c r="AA63" s="60">
        <v>29000000</v>
      </c>
      <c r="AB63" s="7">
        <f t="shared" si="2"/>
        <v>29000000</v>
      </c>
      <c r="AC63" s="7">
        <f t="shared" si="11"/>
        <v>0</v>
      </c>
    </row>
    <row r="64" spans="1:36" s="8" customFormat="1" ht="22.7" customHeight="1">
      <c r="A64" s="59" t="s">
        <v>53</v>
      </c>
      <c r="B64" s="13" t="s">
        <v>145</v>
      </c>
      <c r="C64" s="13" t="s">
        <v>36</v>
      </c>
      <c r="D64" s="13" t="s">
        <v>24</v>
      </c>
      <c r="E64" s="13" t="s">
        <v>146</v>
      </c>
      <c r="F64" s="14" t="s">
        <v>147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0</v>
      </c>
      <c r="R64" s="42">
        <v>0</v>
      </c>
      <c r="S64" s="15">
        <v>0.4</v>
      </c>
      <c r="T64" s="16">
        <f>U64/(1+S64)</f>
        <v>20607142.857142858</v>
      </c>
      <c r="U64" s="16">
        <v>28850000</v>
      </c>
      <c r="V64" s="15">
        <v>0.4</v>
      </c>
      <c r="W64" s="16">
        <v>21021428.571428575</v>
      </c>
      <c r="X64" s="16">
        <f t="shared" si="18"/>
        <v>29430000.000000004</v>
      </c>
      <c r="Y64" s="15">
        <v>0.4</v>
      </c>
      <c r="Z64" s="43">
        <f t="shared" si="12"/>
        <v>21428571.428571429</v>
      </c>
      <c r="AA64" s="60">
        <f>30000000</f>
        <v>30000000</v>
      </c>
      <c r="AB64" s="7">
        <f t="shared" si="2"/>
        <v>30000000</v>
      </c>
      <c r="AC64" s="7">
        <f t="shared" si="11"/>
        <v>0</v>
      </c>
    </row>
    <row r="65" spans="1:29" s="8" customFormat="1" ht="22.7" customHeight="1">
      <c r="A65" s="59" t="s">
        <v>53</v>
      </c>
      <c r="B65" s="13" t="s">
        <v>148</v>
      </c>
      <c r="C65" s="13" t="s">
        <v>36</v>
      </c>
      <c r="D65" s="13" t="s">
        <v>37</v>
      </c>
      <c r="E65" s="13" t="s">
        <v>149</v>
      </c>
      <c r="F65" s="14" t="s">
        <v>150</v>
      </c>
      <c r="G65" s="21">
        <v>0.05</v>
      </c>
      <c r="H65" s="23">
        <v>0</v>
      </c>
      <c r="I65" s="23">
        <f>H65*(1+G65)</f>
        <v>0</v>
      </c>
      <c r="J65" s="21">
        <v>0.05</v>
      </c>
      <c r="K65" s="23">
        <v>28571428.571428571</v>
      </c>
      <c r="L65" s="23">
        <f>K65*(1+J65)</f>
        <v>30000000</v>
      </c>
      <c r="M65" s="20">
        <v>0.05</v>
      </c>
      <c r="N65" s="24">
        <v>29523809.523809522</v>
      </c>
      <c r="O65" s="24">
        <f>N65*(1+M65)</f>
        <v>31000000</v>
      </c>
      <c r="P65" s="15">
        <v>0.05</v>
      </c>
      <c r="Q65" s="16">
        <f>VLOOKUP(F65,'[5]Price List - w.e.f 1st Jul'!$I$24:$J$43,2,0)</f>
        <v>29523809.523809522</v>
      </c>
      <c r="R65" s="17">
        <f>Q65*(1+P65)</f>
        <v>31000000</v>
      </c>
      <c r="S65" s="15">
        <v>0.05</v>
      </c>
      <c r="T65" s="16">
        <v>29523809.523809522</v>
      </c>
      <c r="U65" s="16">
        <f>Q65*(1+S65)</f>
        <v>31000000</v>
      </c>
      <c r="V65" s="15">
        <v>0.05</v>
      </c>
      <c r="W65" s="16">
        <v>29523809.523809522</v>
      </c>
      <c r="X65" s="16">
        <f t="shared" si="18"/>
        <v>31000000</v>
      </c>
      <c r="Y65" s="15">
        <v>0.05</v>
      </c>
      <c r="Z65" s="43">
        <f t="shared" si="12"/>
        <v>29523809.523809522</v>
      </c>
      <c r="AA65" s="60">
        <v>31000000</v>
      </c>
      <c r="AB65" s="7">
        <f t="shared" si="2"/>
        <v>31000000</v>
      </c>
      <c r="AC65" s="7">
        <f t="shared" si="11"/>
        <v>0</v>
      </c>
    </row>
    <row r="66" spans="1:29" s="8" customFormat="1" ht="22.7" customHeight="1">
      <c r="A66" s="59" t="s">
        <v>53</v>
      </c>
      <c r="B66" s="13" t="s">
        <v>151</v>
      </c>
      <c r="C66" s="13" t="s">
        <v>36</v>
      </c>
      <c r="D66" s="13" t="s">
        <v>24</v>
      </c>
      <c r="E66" s="13" t="s">
        <v>152</v>
      </c>
      <c r="F66" s="14" t="s">
        <v>153</v>
      </c>
      <c r="G66" s="21">
        <v>0.43</v>
      </c>
      <c r="H66" s="23">
        <v>23356643.356643356</v>
      </c>
      <c r="I66" s="23">
        <f>H66*(1+G66)</f>
        <v>33400000</v>
      </c>
      <c r="J66" s="21">
        <v>0.43</v>
      </c>
      <c r="K66" s="23">
        <v>23356643.356643356</v>
      </c>
      <c r="L66" s="23">
        <f>K66*(1+J66)</f>
        <v>33400000</v>
      </c>
      <c r="M66" s="20">
        <v>0.43</v>
      </c>
      <c r="N66" s="24">
        <v>23356643.356643356</v>
      </c>
      <c r="O66" s="24">
        <f>N66*(1+M66)</f>
        <v>33400000</v>
      </c>
      <c r="P66" s="15">
        <v>0.43</v>
      </c>
      <c r="Q66" s="16">
        <v>23356643.356643356</v>
      </c>
      <c r="R66" s="17">
        <f>Q66*(1+P66)</f>
        <v>33400000</v>
      </c>
      <c r="S66" s="15">
        <v>0.4</v>
      </c>
      <c r="T66" s="16">
        <f t="shared" ref="T66:T71" si="27">U66/(1+S66)</f>
        <v>23356643.356643356</v>
      </c>
      <c r="U66" s="16">
        <f>Q66*(1+S66)</f>
        <v>32699300.699300695</v>
      </c>
      <c r="V66" s="15">
        <v>0.4</v>
      </c>
      <c r="W66" s="16">
        <v>23356643.356643356</v>
      </c>
      <c r="X66" s="16">
        <f t="shared" si="18"/>
        <v>32699300.699300695</v>
      </c>
      <c r="Y66" s="15">
        <v>0.4</v>
      </c>
      <c r="Z66" s="43">
        <f t="shared" si="12"/>
        <v>23356643.356643356</v>
      </c>
      <c r="AA66" s="60">
        <v>32699300.699300695</v>
      </c>
      <c r="AB66" s="7">
        <f t="shared" si="2"/>
        <v>32699300.699300695</v>
      </c>
      <c r="AC66" s="7">
        <f t="shared" si="11"/>
        <v>0</v>
      </c>
    </row>
    <row r="67" spans="1:29" s="8" customFormat="1" ht="22.7" customHeight="1">
      <c r="A67" s="59" t="s">
        <v>53</v>
      </c>
      <c r="B67" s="13" t="s">
        <v>154</v>
      </c>
      <c r="C67" s="13" t="s">
        <v>36</v>
      </c>
      <c r="D67" s="13" t="s">
        <v>24</v>
      </c>
      <c r="E67" s="13" t="s">
        <v>155</v>
      </c>
      <c r="F67" s="14" t="s">
        <v>156</v>
      </c>
      <c r="G67" s="21">
        <v>0.43</v>
      </c>
      <c r="H67" s="23">
        <v>23356643.356643356</v>
      </c>
      <c r="I67" s="23">
        <f>H67*(1+G67)</f>
        <v>33400000</v>
      </c>
      <c r="J67" s="21">
        <v>0.43</v>
      </c>
      <c r="K67" s="23">
        <v>23356643.356643356</v>
      </c>
      <c r="L67" s="23">
        <f>K67*(1+J67)</f>
        <v>33400000</v>
      </c>
      <c r="M67" s="20">
        <v>0.43</v>
      </c>
      <c r="N67" s="24">
        <v>23356643.356643356</v>
      </c>
      <c r="O67" s="24">
        <f>N67*(1+M67)</f>
        <v>33400000</v>
      </c>
      <c r="P67" s="15">
        <v>0.43</v>
      </c>
      <c r="Q67" s="16">
        <v>23356643.356643356</v>
      </c>
      <c r="R67" s="17">
        <f>Q67*(1+P67)</f>
        <v>33400000</v>
      </c>
      <c r="S67" s="15">
        <v>0.4</v>
      </c>
      <c r="T67" s="16">
        <f t="shared" si="27"/>
        <v>23356643.356643356</v>
      </c>
      <c r="U67" s="16">
        <f>Q67*(1+S67)</f>
        <v>32699300.699300695</v>
      </c>
      <c r="V67" s="15">
        <v>0.4</v>
      </c>
      <c r="W67" s="16">
        <v>23828571.428571433</v>
      </c>
      <c r="X67" s="16">
        <f t="shared" si="18"/>
        <v>33360000.000000004</v>
      </c>
      <c r="Y67" s="15">
        <v>0.4</v>
      </c>
      <c r="Z67" s="43">
        <f t="shared" si="12"/>
        <v>24285714.285714287</v>
      </c>
      <c r="AA67" s="60">
        <f>34000000</f>
        <v>34000000</v>
      </c>
      <c r="AB67" s="7">
        <f t="shared" si="2"/>
        <v>34000000</v>
      </c>
      <c r="AC67" s="7">
        <f t="shared" si="11"/>
        <v>0</v>
      </c>
    </row>
    <row r="68" spans="1:29" s="8" customFormat="1" ht="22.7" customHeight="1">
      <c r="A68" s="65" t="s">
        <v>53</v>
      </c>
      <c r="B68" s="32" t="s">
        <v>145</v>
      </c>
      <c r="C68" s="32" t="s">
        <v>36</v>
      </c>
      <c r="D68" s="32" t="s">
        <v>24</v>
      </c>
      <c r="E68" s="32" t="s">
        <v>157</v>
      </c>
      <c r="F68" s="33" t="s">
        <v>158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15">
        <v>0.4</v>
      </c>
      <c r="T68" s="16">
        <f t="shared" si="27"/>
        <v>24664285.714285716</v>
      </c>
      <c r="U68" s="16">
        <v>34530000</v>
      </c>
      <c r="V68" s="15">
        <v>0.4</v>
      </c>
      <c r="W68" s="16">
        <v>24821428.571428575</v>
      </c>
      <c r="X68" s="16">
        <f t="shared" si="18"/>
        <v>34750000</v>
      </c>
      <c r="Y68" s="15">
        <v>0.4</v>
      </c>
      <c r="Z68" s="43">
        <f t="shared" si="12"/>
        <v>25357142.857142858</v>
      </c>
      <c r="AA68" s="60">
        <f>35500000</f>
        <v>35500000</v>
      </c>
      <c r="AB68" s="7">
        <f t="shared" si="2"/>
        <v>35500000</v>
      </c>
      <c r="AC68" s="7">
        <f t="shared" si="11"/>
        <v>0</v>
      </c>
    </row>
    <row r="69" spans="1:29" s="8" customFormat="1" ht="22.7" customHeight="1">
      <c r="A69" s="66" t="s">
        <v>53</v>
      </c>
      <c r="B69" s="13" t="s">
        <v>159</v>
      </c>
      <c r="C69" s="13" t="s">
        <v>36</v>
      </c>
      <c r="D69" s="13" t="s">
        <v>24</v>
      </c>
      <c r="E69" s="13" t="s">
        <v>160</v>
      </c>
      <c r="F69" s="14" t="s">
        <v>161</v>
      </c>
      <c r="G69" s="21">
        <v>0.48</v>
      </c>
      <c r="H69" s="23">
        <v>23500000</v>
      </c>
      <c r="I69" s="23">
        <f>H69*(1+G69)</f>
        <v>34780000</v>
      </c>
      <c r="J69" s="21">
        <v>0.48</v>
      </c>
      <c r="K69" s="23">
        <v>23500000</v>
      </c>
      <c r="L69" s="23">
        <f>K69*(1+J69)</f>
        <v>34780000</v>
      </c>
      <c r="M69" s="20">
        <v>0.48</v>
      </c>
      <c r="N69" s="24">
        <v>24324324.324324325</v>
      </c>
      <c r="O69" s="24">
        <f>N69*(1+M69)</f>
        <v>36000000</v>
      </c>
      <c r="P69" s="15">
        <v>0.48</v>
      </c>
      <c r="Q69" s="16">
        <v>24810810.810810812</v>
      </c>
      <c r="R69" s="17">
        <f>Q69*(1+P69)</f>
        <v>36720000</v>
      </c>
      <c r="S69" s="15">
        <v>0.4</v>
      </c>
      <c r="T69" s="16">
        <f t="shared" si="27"/>
        <v>24810810.810810812</v>
      </c>
      <c r="U69" s="16">
        <f>Q69*(1+S69)</f>
        <v>34735135.135135137</v>
      </c>
      <c r="V69" s="15">
        <v>0.4</v>
      </c>
      <c r="W69" s="16">
        <v>25307142.857142858</v>
      </c>
      <c r="X69" s="16">
        <f t="shared" si="18"/>
        <v>35430000</v>
      </c>
      <c r="Y69" s="15">
        <v>0.4</v>
      </c>
      <c r="Z69" s="43">
        <f t="shared" si="12"/>
        <v>25821428.571428575</v>
      </c>
      <c r="AA69" s="60">
        <f>36150000</f>
        <v>36150000</v>
      </c>
      <c r="AB69" s="7">
        <f t="shared" si="2"/>
        <v>36150000</v>
      </c>
      <c r="AC69" s="7">
        <f t="shared" si="11"/>
        <v>0</v>
      </c>
    </row>
    <row r="70" spans="1:29" s="8" customFormat="1" ht="22.7" customHeight="1">
      <c r="A70" s="59" t="s">
        <v>53</v>
      </c>
      <c r="B70" s="13" t="s">
        <v>143</v>
      </c>
      <c r="C70" s="13" t="s">
        <v>36</v>
      </c>
      <c r="D70" s="13" t="s">
        <v>24</v>
      </c>
      <c r="E70" s="13" t="s">
        <v>162</v>
      </c>
      <c r="F70" s="14" t="s">
        <v>163</v>
      </c>
      <c r="G70" s="21">
        <v>0.5</v>
      </c>
      <c r="H70" s="23">
        <v>24293333.333333332</v>
      </c>
      <c r="I70" s="23">
        <f>H70*(1+G70)</f>
        <v>36440000</v>
      </c>
      <c r="J70" s="21">
        <v>0.5</v>
      </c>
      <c r="K70" s="23">
        <v>24293333.333333332</v>
      </c>
      <c r="L70" s="23">
        <f>K70*(1+J70)</f>
        <v>36440000</v>
      </c>
      <c r="M70" s="20">
        <v>0.5</v>
      </c>
      <c r="N70" s="24">
        <v>25000000</v>
      </c>
      <c r="O70" s="24">
        <f>N70*(1+M70)</f>
        <v>37500000</v>
      </c>
      <c r="P70" s="15">
        <v>0.5</v>
      </c>
      <c r="Q70" s="16">
        <v>25666666.66666666</v>
      </c>
      <c r="R70" s="17">
        <f>Q70*(1+P70)</f>
        <v>38499999.999999993</v>
      </c>
      <c r="S70" s="15">
        <v>0.4</v>
      </c>
      <c r="T70" s="16">
        <f t="shared" si="27"/>
        <v>25666666.66666666</v>
      </c>
      <c r="U70" s="16">
        <f>Q70*(1+S70)</f>
        <v>35933333.333333321</v>
      </c>
      <c r="V70" s="15">
        <v>0.4</v>
      </c>
      <c r="W70" s="16">
        <v>26185714.285714287</v>
      </c>
      <c r="X70" s="16">
        <f t="shared" si="18"/>
        <v>36660000</v>
      </c>
      <c r="Y70" s="15">
        <v>0.4</v>
      </c>
      <c r="Z70" s="43">
        <f t="shared" si="12"/>
        <v>26714285.714285716</v>
      </c>
      <c r="AA70" s="60">
        <f>37400000</f>
        <v>37400000</v>
      </c>
      <c r="AB70" s="7">
        <f t="shared" si="2"/>
        <v>37400000</v>
      </c>
      <c r="AC70" s="7">
        <f t="shared" si="11"/>
        <v>0</v>
      </c>
    </row>
    <row r="71" spans="1:29" s="8" customFormat="1" ht="22.7" customHeight="1" thickBot="1">
      <c r="A71" s="67" t="s">
        <v>53</v>
      </c>
      <c r="B71" s="68" t="s">
        <v>164</v>
      </c>
      <c r="C71" s="68" t="s">
        <v>36</v>
      </c>
      <c r="D71" s="68" t="s">
        <v>24</v>
      </c>
      <c r="E71" s="68" t="s">
        <v>165</v>
      </c>
      <c r="F71" s="69" t="s">
        <v>166</v>
      </c>
      <c r="G71" s="70">
        <v>0.48</v>
      </c>
      <c r="H71" s="71">
        <v>0</v>
      </c>
      <c r="I71" s="71">
        <f>H71*(1+G71)</f>
        <v>0</v>
      </c>
      <c r="J71" s="70">
        <v>0.48</v>
      </c>
      <c r="K71" s="71">
        <v>28378378.37837838</v>
      </c>
      <c r="L71" s="71">
        <f>K71*(1+J71)</f>
        <v>42000000</v>
      </c>
      <c r="M71" s="72">
        <v>0.48</v>
      </c>
      <c r="N71" s="73">
        <v>29391891.891891893</v>
      </c>
      <c r="O71" s="73">
        <f>N71*(1+M71)</f>
        <v>43500000</v>
      </c>
      <c r="P71" s="74">
        <v>0.48</v>
      </c>
      <c r="Q71" s="75">
        <v>29391891.891891897</v>
      </c>
      <c r="R71" s="76">
        <f>Q71*(1+P71)</f>
        <v>43500000.000000007</v>
      </c>
      <c r="S71" s="74">
        <v>0.4</v>
      </c>
      <c r="T71" s="75">
        <f t="shared" si="27"/>
        <v>29391891.891891893</v>
      </c>
      <c r="U71" s="75">
        <f>Q71*(1+S71)</f>
        <v>41148648.648648649</v>
      </c>
      <c r="V71" s="74">
        <v>0.4</v>
      </c>
      <c r="W71" s="75">
        <v>30000000.000000004</v>
      </c>
      <c r="X71" s="75">
        <f t="shared" si="18"/>
        <v>42000000</v>
      </c>
      <c r="Y71" s="74">
        <v>0.4</v>
      </c>
      <c r="Z71" s="77">
        <f t="shared" si="12"/>
        <v>30714285.714285716</v>
      </c>
      <c r="AA71" s="78">
        <f>43000000</f>
        <v>43000000</v>
      </c>
      <c r="AB71" s="7">
        <f t="shared" si="2"/>
        <v>43000000</v>
      </c>
      <c r="AC71" s="7">
        <f t="shared" si="11"/>
        <v>0</v>
      </c>
    </row>
    <row r="73" spans="1:29" ht="20.25">
      <c r="A73" s="31" t="s">
        <v>167</v>
      </c>
    </row>
    <row r="74" spans="1:29" ht="20.25">
      <c r="A74" s="31" t="s">
        <v>168</v>
      </c>
    </row>
    <row r="75" spans="1:29">
      <c r="Q75" s="99">
        <f>Q29-N29</f>
        <v>-675675.67567567527</v>
      </c>
      <c r="S75" s="4">
        <v>0.02</v>
      </c>
    </row>
    <row r="120" spans="19:20" ht="18">
      <c r="S120" s="86">
        <v>15714286</v>
      </c>
      <c r="T120" s="4">
        <f>S120*1.4</f>
        <v>22000000.399999999</v>
      </c>
    </row>
  </sheetData>
  <autoFilter ref="A7:AA71" xr:uid="{84678C71-DFFC-4BFF-85C2-288FF4FF5BB7}"/>
  <sortState xmlns:xlrd2="http://schemas.microsoft.com/office/spreadsheetml/2017/richdata2" ref="A8:AA71">
    <sortCondition descending="1" ref="C8:C71"/>
    <sortCondition ref="B8:B71"/>
    <sortCondition ref="AA8:AA71"/>
  </sortState>
  <mergeCells count="8">
    <mergeCell ref="Y6:AA6"/>
    <mergeCell ref="V6:X6"/>
    <mergeCell ref="G6:I6"/>
    <mergeCell ref="R5:T5"/>
    <mergeCell ref="J6:L6"/>
    <mergeCell ref="M6:O6"/>
    <mergeCell ref="P6:R6"/>
    <mergeCell ref="S6:U6"/>
  </mergeCells>
  <conditionalFormatting sqref="G8:AA71">
    <cfRule type="cellIs" dxfId="0" priority="1" operator="equal">
      <formula>0</formula>
    </cfRule>
  </conditionalFormatting>
  <pageMargins left="0.7" right="0.7" top="0.75" bottom="0.75" header="0.3" footer="0.3"/>
  <pageSetup paperSize="8" scale="4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4B37-C916-4862-B839-B2FEE05EF2C2}">
  <sheetPr codeName="Sheet2"/>
  <dimension ref="E11:E15"/>
  <sheetViews>
    <sheetView topLeftCell="A13" workbookViewId="0">
      <selection activeCell="L17" sqref="L17"/>
    </sheetView>
  </sheetViews>
  <sheetFormatPr defaultRowHeight="15"/>
  <cols>
    <col min="5" max="5" width="11.5703125" bestFit="1" customWidth="1"/>
  </cols>
  <sheetData>
    <row r="11" spans="5:5">
      <c r="E11" s="87"/>
    </row>
    <row r="12" spans="5:5">
      <c r="E12" s="87"/>
    </row>
    <row r="13" spans="5:5">
      <c r="E13" s="87"/>
    </row>
    <row r="15" spans="5:5">
      <c r="E15" s="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Kakani, Aayushi (185)</dc:creator>
  <cp:keywords/>
  <dc:description/>
  <cp:lastModifiedBy>V, Vishnu (185)</cp:lastModifiedBy>
  <cp:revision/>
  <dcterms:created xsi:type="dcterms:W3CDTF">2025-09-04T06:02:02Z</dcterms:created>
  <dcterms:modified xsi:type="dcterms:W3CDTF">2026-08-20T11:47:44Z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2025-09-04T06:12:01Z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135dc8f1-5910-44f4-bd83-27ca6a63139e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